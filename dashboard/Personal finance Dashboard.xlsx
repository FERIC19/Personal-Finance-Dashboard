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 PC\Documents\"/>
    </mc:Choice>
  </mc:AlternateContent>
  <xr:revisionPtr revIDLastSave="0" documentId="13_ncr:1_{C2A15073-8AF8-4F51-ADB5-E26BF870F85C}" xr6:coauthVersionLast="47" xr6:coauthVersionMax="47" xr10:uidLastSave="{00000000-0000-0000-0000-000000000000}"/>
  <bookViews>
    <workbookView xWindow="3915" yWindow="4455" windowWidth="21600" windowHeight="11835" activeTab="1" xr2:uid="{E987F285-1E80-4B97-AC8E-9A9521A24520}"/>
  </bookViews>
  <sheets>
    <sheet name="Analysis" sheetId="1" r:id="rId1"/>
    <sheet name="Visuals" sheetId="7" r:id="rId2"/>
  </sheets>
  <definedNames>
    <definedName name="Balance">Analysis!$H$9</definedName>
    <definedName name="Savings_rate">Analysis!$G$9</definedName>
    <definedName name="Slicer_Month_Name">#N/A</definedName>
    <definedName name="Slicer_Year">#N/A</definedName>
  </definedNames>
  <calcPr calcId="191029"/>
  <pivotCaches>
    <pivotCache cacheId="715" r:id="rId3"/>
    <pivotCache cacheId="757" r:id="rId4"/>
    <pivotCache cacheId="940" r:id="rId5"/>
    <pivotCache cacheId="1015" r:id="rId6"/>
    <pivotCache cacheId="1018" r:id="rId7"/>
    <pivotCache cacheId="1021" r:id="rId8"/>
    <pivotCache cacheId="1024" r:id="rId9"/>
    <pivotCache cacheId="1027" r:id="rId10"/>
    <pivotCache cacheId="1030" r:id="rId11"/>
    <pivotCache cacheId="1033" r:id="rId12"/>
    <pivotCache cacheId="1036" r:id="rId13"/>
    <pivotCache cacheId="1039" r:id="rId14"/>
    <pivotCache cacheId="1042" r:id="rId15"/>
    <pivotCache cacheId="1045" r:id="rId16"/>
    <pivotCache cacheId="1048" r:id="rId17"/>
  </pivotCaches>
  <extLst>
    <ext xmlns:x14="http://schemas.microsoft.com/office/spreadsheetml/2009/9/main" uri="{876F7934-8845-4945-9796-88D515C7AA90}">
      <x14:pivotCaches>
        <pivotCache cacheId="2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_f3fb57ed-760f-47d2-a559-22bec3fbe343" name="Transactions" connection="Query - Transactions"/>
          <x15:modelTable id="Budget_99af2f9f-8949-42c7-a226-6f51c189a46e" name="Budget" connection="Query - Budget"/>
        </x15:modelTables>
        <x15:modelRelationships>
          <x15:modelRelationship fromTable="Transactions" fromColumn="Category" toTable="Budget"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222AC6-5F26-4E11-A440-9012BFF015FA}" name="Query - Budget" description="Connection to the 'Budget' query in the workbook." type="100" refreshedVersion="7" minRefreshableVersion="5">
    <extLst>
      <ext xmlns:x15="http://schemas.microsoft.com/office/spreadsheetml/2010/11/main" uri="{DE250136-89BD-433C-8126-D09CA5730AF9}">
        <x15:connection id="6bf73112-b8af-471c-ac25-e618bff8e6f5"/>
      </ext>
    </extLst>
  </connection>
  <connection id="2" xr16:uid="{D05D19E0-C500-4E4C-AAB6-5C9D21B24B1A}" name="Query - Transactions" description="Connection to the 'Transactions' query in the workbook." type="100" refreshedVersion="7" minRefreshableVersion="5">
    <extLst>
      <ext xmlns:x15="http://schemas.microsoft.com/office/spreadsheetml/2010/11/main" uri="{DE250136-89BD-433C-8126-D09CA5730AF9}">
        <x15:connection id="9214aa56-bce2-4232-b859-23f30f0adde6"/>
      </ext>
    </extLst>
  </connection>
  <connection id="3" xr16:uid="{1BB93996-E1B7-4F6E-8F72-3DEB4887B60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<sst xmlns="http://schemas.openxmlformats.org/spreadsheetml/2006/main" count="146" uniqueCount="55">
  <si>
    <t>Amazon</t>
  </si>
  <si>
    <t>debit</t>
  </si>
  <si>
    <t>Platinum Card</t>
  </si>
  <si>
    <t>Mortgage Payment</t>
  </si>
  <si>
    <t>Mortgage &amp; Rent</t>
  </si>
  <si>
    <t>Checking</t>
  </si>
  <si>
    <t>Restaurants</t>
  </si>
  <si>
    <t>Silver Card</t>
  </si>
  <si>
    <t>credit</t>
  </si>
  <si>
    <t>Hardware Store</t>
  </si>
  <si>
    <t>Home Improvement</t>
  </si>
  <si>
    <t>Utilities</t>
  </si>
  <si>
    <t>Grocery Store</t>
  </si>
  <si>
    <t>Groceries</t>
  </si>
  <si>
    <t>Mike's Construction Co.</t>
  </si>
  <si>
    <t>Expense</t>
  </si>
  <si>
    <t>Jan</t>
  </si>
  <si>
    <t>Transfer</t>
  </si>
  <si>
    <t>Income</t>
  </si>
  <si>
    <t>Feb</t>
  </si>
  <si>
    <t>Mar</t>
  </si>
  <si>
    <t>Apr</t>
  </si>
  <si>
    <t>May</t>
  </si>
  <si>
    <t>Jun</t>
  </si>
  <si>
    <t>Jul</t>
  </si>
  <si>
    <t>Aug</t>
  </si>
  <si>
    <t>Sep</t>
  </si>
  <si>
    <t>Oct</t>
  </si>
  <si>
    <t>Nov</t>
  </si>
  <si>
    <t>Dec</t>
  </si>
  <si>
    <t>Total Income</t>
  </si>
  <si>
    <t>Total Expenses</t>
  </si>
  <si>
    <t>Net Savings</t>
  </si>
  <si>
    <t>Savings Rate</t>
  </si>
  <si>
    <t>Available Balance</t>
  </si>
  <si>
    <t>Budget Variance</t>
  </si>
  <si>
    <t>Row Labels</t>
  </si>
  <si>
    <t>Grand Total</t>
  </si>
  <si>
    <t>Sum of Amount</t>
  </si>
  <si>
    <t>Sum of Budget</t>
  </si>
  <si>
    <t>Auto Insurance</t>
  </si>
  <si>
    <t>Electronics &amp; Software</t>
  </si>
  <si>
    <t>Gas &amp; Fuel</t>
  </si>
  <si>
    <t>Month Name</t>
  </si>
  <si>
    <t>Internet</t>
  </si>
  <si>
    <t>Mobile Phone</t>
  </si>
  <si>
    <t>Alcohol &amp; Bars</t>
  </si>
  <si>
    <t>Coffee Shops</t>
  </si>
  <si>
    <t>Entertainment</t>
  </si>
  <si>
    <t>Fast Food</t>
  </si>
  <si>
    <t>Haircut</t>
  </si>
  <si>
    <t>Movies &amp; DVDs</t>
  </si>
  <si>
    <t>Music</t>
  </si>
  <si>
    <t>Shopping</t>
  </si>
  <si>
    <t>Television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</si>
</sst>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_(&quot;$&quot;* \(#,##0.00\);_(&quot;$&quot;* &quot;-&quot;??_);_(@_)"/>
    <numFmt numFmtId="164" formatCode="\$#,##0;\(\$#,##0\);\$#,##0"/>
    <numFmt numFmtId="165" formatCode="\$#,##0.00;\(\$#,##0.00\);\$#,##0.00"/>
    <numFmt numFmtId="166" formatCode="&quot;$&quot;#,##0.00"/>
    <numFmt numFmtId="167" formatCode="0.0%"/>
    <numFmt numFmtId="168" formatCode="[Green]&quot; ▲ &quot;&quot;$&quot;#,##0.00;[Red]&quot;▼ -&quot;&quot;$&quot;#,##0.00"/>
    <numFmt numFmtId="169" formatCode="[Green]&quot; ↗ &quot;&quot;$&quot;#,##0.00"/>
    <numFmt numFmtId="170" formatCode="[Red]&quot; ↘ &quot;&quot;$&quot;#,##0.00"/>
    <numFmt numFmtId="171" formatCode="0.0%;\-0.0%;0.0%"/>
    <numFmt numFmtId="172" formatCode="[Green]0.0%;[Red]\-0.0%"/>
  </numFmts>
  <fonts count="4" x14ac:knownFonts="1">
    <font>
      <sz val="11"/>
      <color theme="1"/>
      <name val="Calibri"/>
      <family val="2"/>
      <scheme val="minor"/>
    </font>
    <font>
      <sz val="11"/>
      <color theme="1"/>
      <name val="Calibri"/>
      <family val="2"/>
      <scheme val="minor"/>
    </font>
    <font>
      <sz val="11"/>
      <color theme="0"/>
      <name val="Calibri"/>
      <family val="2"/>
      <scheme val="minor"/>
    </font>
    <font>
      <sz val="11"/>
      <color theme="0" tint="-0.499984740745262"/>
      <name val="Calibri"/>
      <family val="2"/>
      <scheme val="minor"/>
    </font>
  </fonts>
  <fills count="4">
    <fill>
      <patternFill patternType="none"/>
    </fill>
    <fill>
      <patternFill patternType="gray125"/>
    </fill>
    <fill>
      <patternFill patternType="solid">
        <fgColor rgb="FF4B4B4B"/>
        <bgColor indexed="64"/>
      </patternFill>
    </fill>
    <fill>
      <patternFill patternType="solid">
        <fgColor rgb="FFFBFBFB"/>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style="thin">
        <color indexed="64"/>
      </right>
      <top/>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0" fillId="0" borderId="0" xfId="0" applyNumberFormat="1"/>
    <xf numFmtId="164" fontId="0" fillId="0" borderId="0" xfId="0" applyNumberFormat="1"/>
    <xf numFmtId="0" fontId="0" fillId="0" borderId="0" xfId="0" pivotButton="1"/>
    <xf numFmtId="165" fontId="0" fillId="0" borderId="0" xfId="0" applyNumberFormat="1"/>
    <xf numFmtId="0" fontId="0" fillId="0" borderId="0" xfId="0" applyAlignment="1">
      <alignment horizontal="left"/>
    </xf>
    <xf numFmtId="44" fontId="0" fillId="0" borderId="0" xfId="0" applyNumberFormat="1"/>
    <xf numFmtId="167" fontId="0" fillId="0" borderId="0" xfId="0" applyNumberFormat="1"/>
    <xf numFmtId="0" fontId="0" fillId="2" borderId="0" xfId="0" applyFill="1"/>
    <xf numFmtId="166" fontId="0" fillId="0" borderId="0" xfId="1" applyNumberFormat="1" applyFont="1"/>
    <xf numFmtId="169" fontId="0" fillId="0" borderId="0" xfId="0" applyNumberFormat="1"/>
    <xf numFmtId="0" fontId="0" fillId="0" borderId="0" xfId="0" applyBorder="1"/>
    <xf numFmtId="169" fontId="0" fillId="0" borderId="0" xfId="0" applyNumberFormat="1" applyBorder="1"/>
    <xf numFmtId="170" fontId="0" fillId="0" borderId="0" xfId="0" applyNumberFormat="1" applyBorder="1"/>
    <xf numFmtId="168" fontId="0" fillId="0" borderId="0" xfId="0" applyNumberFormat="1" applyBorder="1"/>
    <xf numFmtId="166" fontId="0" fillId="0" borderId="0" xfId="0" applyNumberFormat="1"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71" fontId="0" fillId="0" borderId="0" xfId="0" applyNumberFormat="1"/>
    <xf numFmtId="172" fontId="0" fillId="0" borderId="0" xfId="0" applyNumberFormat="1" applyBorder="1"/>
    <xf numFmtId="172" fontId="0" fillId="0" borderId="0" xfId="0" applyNumberFormat="1"/>
    <xf numFmtId="0" fontId="3" fillId="3" borderId="0" xfId="0" applyFont="1" applyFill="1" applyBorder="1"/>
    <xf numFmtId="171" fontId="3" fillId="3" borderId="0" xfId="0" applyNumberFormat="1" applyFont="1" applyFill="1"/>
    <xf numFmtId="0" fontId="2" fillId="0" borderId="0" xfId="0" applyFont="1" applyBorder="1"/>
    <xf numFmtId="172" fontId="2" fillId="0" borderId="0" xfId="0" applyNumberFormat="1" applyFont="1" applyBorder="1"/>
    <xf numFmtId="172" fontId="2" fillId="0" borderId="0" xfId="0" applyNumberFormat="1" applyFont="1"/>
    <xf numFmtId="0" fontId="2" fillId="0" borderId="0" xfId="0" applyFont="1"/>
    <xf numFmtId="0" fontId="2" fillId="0" borderId="10" xfId="0" applyFont="1" applyBorder="1"/>
    <xf numFmtId="0" fontId="3" fillId="2" borderId="0" xfId="0" applyFont="1" applyFill="1"/>
  </cellXfs>
  <cellStyles count="2">
    <cellStyle name="Currency" xfId="1" builtinId="4"/>
    <cellStyle name="Normal" xfId="0" builtinId="0"/>
  </cellStyles>
  <dxfs count="231">
    <dxf>
      <numFmt numFmtId="171" formatCode="0.0%;\-0.0%;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border>
        <right style="thin">
          <color indexed="64"/>
        </right>
      </border>
    </dxf>
    <dxf>
      <border>
        <right style="thin">
          <color indexed="64"/>
        </right>
      </border>
    </dxf>
    <dxf>
      <fill>
        <patternFill patternType="solid">
          <bgColor rgb="FFFBFBFB"/>
        </patternFill>
      </fill>
    </dxf>
    <dxf>
      <fill>
        <patternFill patternType="solid">
          <bgColor rgb="FFFBFBFB"/>
        </patternFill>
      </fill>
    </dxf>
    <dxf>
      <border>
        <vertical/>
      </border>
    </dxf>
    <dxf>
      <border>
        <vertical/>
      </border>
    </dxf>
    <dxf>
      <border>
        <right/>
      </border>
    </dxf>
    <dxf>
      <border>
        <vertical/>
      </border>
    </dxf>
    <dxf>
      <border>
        <vertical/>
      </border>
    </dxf>
    <dxf>
      <border>
        <right/>
      </border>
    </dxf>
    <dxf>
      <border>
        <vertical/>
      </border>
    </dxf>
    <dxf>
      <border>
        <vertical/>
      </border>
    </dxf>
    <dxf>
      <border>
        <vertical/>
      </border>
    </dxf>
    <dxf>
      <border>
        <vertical/>
      </border>
    </dxf>
    <dxf>
      <border>
        <vertical/>
      </border>
    </dxf>
    <dxf>
      <border>
        <vertical/>
      </border>
    </dxf>
    <dxf>
      <border>
        <right/>
      </border>
    </dxf>
    <dxf>
      <border>
        <vertical/>
      </border>
    </dxf>
    <dxf>
      <border>
        <vertical/>
      </border>
    </dxf>
    <dxf>
      <border>
        <right/>
      </border>
    </dxf>
    <dxf>
      <font>
        <color theme="0" tint="-0.499984740745262"/>
      </font>
    </dxf>
    <dxf>
      <font>
        <color theme="0" tint="-0.499984740745262"/>
      </font>
    </dxf>
    <dxf>
      <font>
        <color theme="0"/>
      </font>
    </dxf>
    <dxf>
      <font>
        <color theme="0"/>
      </font>
    </dxf>
    <dxf>
      <font>
        <color theme="0"/>
      </font>
    </dxf>
    <dxf>
      <font>
        <color theme="0"/>
      </font>
    </dxf>
    <dxf>
      <font>
        <color theme="0"/>
      </font>
    </dxf>
    <dxf>
      <numFmt numFmtId="168" formatCode="[Green]&quot; ▲ &quot;&quot;$&quot;#,##0.00;[Red]&quot;▼ -&quot;&quot;$&quot;#,##0.00"/>
    </dxf>
    <dxf>
      <numFmt numFmtId="168" formatCode="[Green]&quot; ▲ &quot;&quot;$&quot;#,##0.00;[Red]&quot;▼ -&quot;&quot;$&quot;#,##0.00"/>
    </dxf>
    <dxf>
      <numFmt numFmtId="169" formatCode="[Green]&quot; ↗ &quot;&quot;$&quot;#,##0.00"/>
    </dxf>
    <dxf>
      <numFmt numFmtId="170" formatCode="[Red]&quot; ↘ &quot;&quot;$&quot;#,##0.00"/>
    </dxf>
    <dxf>
      <numFmt numFmtId="166" formatCode="&quot;$&quot;#,##0.00"/>
    </dxf>
    <dxf>
      <border>
        <left/>
        <right/>
        <top/>
        <bottom/>
      </border>
    </dxf>
    <dxf>
      <numFmt numFmtId="172" formatCode="[Green]0.0%;[Red]\-0.0%"/>
    </dxf>
    <dxf>
      <numFmt numFmtId="167" formatCode="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0.0%;\-0.0%;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border>
        <right style="thin">
          <color indexed="64"/>
        </right>
      </border>
    </dxf>
    <dxf>
      <border>
        <right style="thin">
          <color indexed="64"/>
        </right>
      </border>
    </dxf>
    <dxf>
      <fill>
        <patternFill patternType="solid">
          <bgColor rgb="FFFBFBFB"/>
        </patternFill>
      </fill>
    </dxf>
    <dxf>
      <fill>
        <patternFill patternType="solid">
          <bgColor rgb="FFFBFBFB"/>
        </patternFill>
      </fill>
    </dxf>
    <dxf>
      <border>
        <vertical/>
      </border>
    </dxf>
    <dxf>
      <border>
        <vertical/>
      </border>
    </dxf>
    <dxf>
      <border>
        <right/>
      </border>
    </dxf>
    <dxf>
      <border>
        <vertical/>
      </border>
    </dxf>
    <dxf>
      <border>
        <vertical/>
      </border>
    </dxf>
    <dxf>
      <border>
        <right/>
      </border>
    </dxf>
    <dxf>
      <border>
        <vertical/>
      </border>
    </dxf>
    <dxf>
      <border>
        <vertical/>
      </border>
    </dxf>
    <dxf>
      <border>
        <vertical/>
      </border>
    </dxf>
    <dxf>
      <border>
        <vertical/>
      </border>
    </dxf>
    <dxf>
      <border>
        <vertical/>
      </border>
    </dxf>
    <dxf>
      <border>
        <vertical/>
      </border>
    </dxf>
    <dxf>
      <border>
        <right/>
      </border>
    </dxf>
    <dxf>
      <border>
        <vertical/>
      </border>
    </dxf>
    <dxf>
      <border>
        <vertical/>
      </border>
    </dxf>
    <dxf>
      <border>
        <right/>
      </border>
    </dxf>
    <dxf>
      <font>
        <color theme="0" tint="-0.499984740745262"/>
      </font>
    </dxf>
    <dxf>
      <font>
        <color theme="0" tint="-0.499984740745262"/>
      </font>
    </dxf>
    <dxf>
      <font>
        <color theme="0"/>
      </font>
    </dxf>
    <dxf>
      <font>
        <color theme="0"/>
      </font>
    </dxf>
    <dxf>
      <font>
        <color theme="0"/>
      </font>
    </dxf>
    <dxf>
      <font>
        <color theme="0"/>
      </font>
    </dxf>
    <dxf>
      <font>
        <color theme="0"/>
      </font>
    </dxf>
    <dxf>
      <numFmt numFmtId="168" formatCode="[Green]&quot; ▲ &quot;&quot;$&quot;#,##0.00;[Red]&quot;▼ -&quot;&quot;$&quot;#,##0.00"/>
    </dxf>
    <dxf>
      <numFmt numFmtId="168" formatCode="[Green]&quot; ▲ &quot;&quot;$&quot;#,##0.00;[Red]&quot;▼ -&quot;&quot;$&quot;#,##0.00"/>
    </dxf>
    <dxf>
      <numFmt numFmtId="169" formatCode="[Green]&quot; ↗ &quot;&quot;$&quot;#,##0.00"/>
    </dxf>
    <dxf>
      <numFmt numFmtId="170" formatCode="[Red]&quot; ↘ &quot;&quot;$&quot;#,##0.00"/>
    </dxf>
    <dxf>
      <numFmt numFmtId="166" formatCode="&quot;$&quot;#,##0.00"/>
    </dxf>
    <dxf>
      <border>
        <left/>
        <right/>
        <top/>
        <bottom/>
      </border>
    </dxf>
    <dxf>
      <numFmt numFmtId="172" formatCode="[Green]0.0%;[Red]\-0.0%"/>
    </dxf>
    <dxf>
      <numFmt numFmtId="167" formatCode="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0.0%;\-0.0%;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border>
        <right style="thin">
          <color indexed="64"/>
        </right>
      </border>
    </dxf>
    <dxf>
      <border>
        <right style="thin">
          <color indexed="64"/>
        </right>
      </border>
    </dxf>
    <dxf>
      <fill>
        <patternFill patternType="solid">
          <bgColor rgb="FFFBFBFB"/>
        </patternFill>
      </fill>
    </dxf>
    <dxf>
      <fill>
        <patternFill patternType="solid">
          <bgColor rgb="FFFBFBFB"/>
        </patternFill>
      </fill>
    </dxf>
    <dxf>
      <border>
        <vertical/>
      </border>
    </dxf>
    <dxf>
      <border>
        <vertical/>
      </border>
    </dxf>
    <dxf>
      <border>
        <right/>
      </border>
    </dxf>
    <dxf>
      <border>
        <vertical/>
      </border>
    </dxf>
    <dxf>
      <border>
        <vertical/>
      </border>
    </dxf>
    <dxf>
      <border>
        <right/>
      </border>
    </dxf>
    <dxf>
      <border>
        <vertical/>
      </border>
    </dxf>
    <dxf>
      <border>
        <vertical/>
      </border>
    </dxf>
    <dxf>
      <border>
        <vertical/>
      </border>
    </dxf>
    <dxf>
      <border>
        <vertical/>
      </border>
    </dxf>
    <dxf>
      <border>
        <vertical/>
      </border>
    </dxf>
    <dxf>
      <border>
        <vertical/>
      </border>
    </dxf>
    <dxf>
      <border>
        <right/>
      </border>
    </dxf>
    <dxf>
      <border>
        <vertical/>
      </border>
    </dxf>
    <dxf>
      <border>
        <vertical/>
      </border>
    </dxf>
    <dxf>
      <border>
        <right/>
      </border>
    </dxf>
    <dxf>
      <font>
        <color theme="0" tint="-0.499984740745262"/>
      </font>
    </dxf>
    <dxf>
      <font>
        <color theme="0" tint="-0.499984740745262"/>
      </font>
    </dxf>
    <dxf>
      <font>
        <color theme="0"/>
      </font>
    </dxf>
    <dxf>
      <font>
        <color theme="0"/>
      </font>
    </dxf>
    <dxf>
      <font>
        <color theme="0"/>
      </font>
    </dxf>
    <dxf>
      <font>
        <color theme="0"/>
      </font>
    </dxf>
    <dxf>
      <font>
        <color theme="0"/>
      </font>
    </dxf>
    <dxf>
      <numFmt numFmtId="168" formatCode="[Green]&quot; ▲ &quot;&quot;$&quot;#,##0.00;[Red]&quot;▼ -&quot;&quot;$&quot;#,##0.00"/>
    </dxf>
    <dxf>
      <numFmt numFmtId="168" formatCode="[Green]&quot; ▲ &quot;&quot;$&quot;#,##0.00;[Red]&quot;▼ -&quot;&quot;$&quot;#,##0.00"/>
    </dxf>
    <dxf>
      <numFmt numFmtId="169" formatCode="[Green]&quot; ↗ &quot;&quot;$&quot;#,##0.00"/>
    </dxf>
    <dxf>
      <numFmt numFmtId="170" formatCode="[Red]&quot; ↘ &quot;&quot;$&quot;#,##0.00"/>
    </dxf>
    <dxf>
      <numFmt numFmtId="166" formatCode="&quot;$&quot;#,##0.00"/>
    </dxf>
    <dxf>
      <border>
        <left/>
        <right/>
        <top/>
        <bottom/>
      </border>
    </dxf>
    <dxf>
      <numFmt numFmtId="172" formatCode="[Green]0.0%;[Red]\-0.0%"/>
    </dxf>
    <dxf>
      <numFmt numFmtId="167" formatCode="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font>
        <color theme="0"/>
      </font>
    </dxf>
    <dxf>
      <font>
        <color theme="0"/>
      </font>
    </dxf>
    <dxf>
      <font>
        <color theme="0"/>
      </font>
    </dxf>
    <dxf>
      <font>
        <color theme="0"/>
      </font>
    </dxf>
    <dxf>
      <font>
        <color theme="0"/>
      </font>
    </dxf>
    <dxf>
      <numFmt numFmtId="171" formatCode="0.0%;\-0.0%;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border>
        <right style="thin">
          <color indexed="64"/>
        </right>
      </border>
    </dxf>
    <dxf>
      <border>
        <right style="thin">
          <color indexed="64"/>
        </right>
      </border>
    </dxf>
    <dxf>
      <fill>
        <patternFill patternType="solid">
          <bgColor rgb="FFFBFBFB"/>
        </patternFill>
      </fill>
    </dxf>
    <dxf>
      <fill>
        <patternFill patternType="solid">
          <bgColor rgb="FFFBFBFB"/>
        </patternFill>
      </fill>
    </dxf>
    <dxf>
      <border>
        <vertical/>
      </border>
    </dxf>
    <dxf>
      <border>
        <vertical/>
      </border>
    </dxf>
    <dxf>
      <border>
        <right/>
      </border>
    </dxf>
    <dxf>
      <border>
        <vertical/>
      </border>
    </dxf>
    <dxf>
      <border>
        <vertical/>
      </border>
    </dxf>
    <dxf>
      <border>
        <right/>
      </border>
    </dxf>
    <dxf>
      <border>
        <vertical/>
      </border>
    </dxf>
    <dxf>
      <border>
        <vertical/>
      </border>
    </dxf>
    <dxf>
      <border>
        <vertical/>
      </border>
    </dxf>
    <dxf>
      <border>
        <vertical/>
      </border>
    </dxf>
    <dxf>
      <border>
        <vertical/>
      </border>
    </dxf>
    <dxf>
      <border>
        <vertical/>
      </border>
    </dxf>
    <dxf>
      <border>
        <right/>
      </border>
    </dxf>
    <dxf>
      <border>
        <vertical/>
      </border>
    </dxf>
    <dxf>
      <border>
        <vertical/>
      </border>
    </dxf>
    <dxf>
      <border>
        <right/>
      </border>
    </dxf>
    <dxf>
      <font>
        <color theme="0" tint="-0.499984740745262"/>
      </font>
    </dxf>
    <dxf>
      <font>
        <color theme="0" tint="-0.499984740745262"/>
      </font>
    </dxf>
    <dxf>
      <numFmt numFmtId="168" formatCode="[Green]&quot; ▲ &quot;&quot;$&quot;#,##0.00;[Red]&quot;▼ -&quot;&quot;$&quot;#,##0.00"/>
    </dxf>
    <dxf>
      <numFmt numFmtId="168" formatCode="[Green]&quot; ▲ &quot;&quot;$&quot;#,##0.00;[Red]&quot;▼ -&quot;&quot;$&quot;#,##0.00"/>
    </dxf>
    <dxf>
      <numFmt numFmtId="169" formatCode="[Green]&quot; ↗ &quot;&quot;$&quot;#,##0.00"/>
    </dxf>
    <dxf>
      <numFmt numFmtId="170" formatCode="[Red]&quot; ↘ &quot;&quot;$&quot;#,##0.00"/>
    </dxf>
    <dxf>
      <numFmt numFmtId="166" formatCode="&quot;$&quot;#,##0.00"/>
    </dxf>
    <dxf>
      <border>
        <left/>
        <right/>
        <top/>
        <bottom/>
      </border>
    </dxf>
    <dxf>
      <numFmt numFmtId="172" formatCode="[Green]0.0%;[Red]\-0.0%"/>
    </dxf>
    <dxf>
      <numFmt numFmtId="167" formatCode="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font>
        <b/>
        <i/>
        <sz val="36"/>
      </font>
    </dxf>
    <dxf>
      <font>
        <b/>
        <i val="0"/>
        <sz val="22"/>
        <name val="Arial"/>
        <family val="2"/>
        <scheme val="none"/>
      </font>
      <fill>
        <patternFill patternType="solid">
          <bgColor theme="0" tint="-0.24994659260841701"/>
        </patternFill>
      </fill>
      <border diagonalUp="0" diagonalDown="0">
        <left/>
        <right/>
        <top/>
        <bottom/>
        <vertical/>
        <horizontal/>
      </border>
    </dxf>
    <dxf>
      <font>
        <b/>
        <i val="0"/>
        <strike val="0"/>
        <sz val="20"/>
        <name val="Calibri Light"/>
        <family val="2"/>
        <scheme val="major"/>
      </font>
      <fill>
        <patternFill>
          <bgColor rgb="FFF8DAF8"/>
        </patternFill>
      </fill>
      <border diagonalUp="0" diagonalDown="0">
        <left/>
        <right/>
        <top/>
        <bottom/>
        <vertical/>
        <horizontal/>
      </border>
    </dxf>
  </dxfs>
  <tableStyles count="3" defaultTableStyle="TableStyleMedium2" defaultPivotStyle="PivotStyleLight16">
    <tableStyle name="Slicer Style 1" pivot="0" table="0" count="7" xr9:uid="{28E3BE7A-5A7B-41FE-907B-2AB4AE72A912}">
      <tableStyleElement type="wholeTable" dxfId="230"/>
    </tableStyle>
    <tableStyle name="Slicer Style 2" pivot="0" table="0" count="6" xr9:uid="{C5F2245B-8AE9-4FDA-BFFB-A8E700ED6D56}">
      <tableStyleElement type="wholeTable" dxfId="229"/>
    </tableStyle>
    <tableStyle name="Slicer Style 3" pivot="0" table="0" count="1" xr9:uid="{2B0B63FC-9CFB-4188-BB2F-382616BDDCC8}">
      <tableStyleElement type="wholeTable" dxfId="228"/>
    </tableStyle>
  </tableStyles>
  <colors>
    <mruColors>
      <color rgb="FF4B4B4B"/>
      <color rgb="FF4B3F49"/>
      <color rgb="FFFBFBFB"/>
      <color rgb="FFA5A5A3"/>
      <color rgb="FFF8F8F6"/>
      <color rgb="FF000000"/>
      <color rgb="FFC7A4C4"/>
      <color rgb="FFF8DAF8"/>
      <color rgb="FFFFFFFF"/>
      <color rgb="FF0A0A0A"/>
    </mruColors>
  </colors>
  <extLst>
    <ext xmlns:x14="http://schemas.microsoft.com/office/spreadsheetml/2009/9/main" uri="{46F421CA-312F-682f-3DD2-61675219B42D}">
      <x14:dxfs count="11">
        <dxf>
          <fill>
            <patternFill>
              <bgColor theme="0" tint="-4.9989318521683403E-2"/>
            </patternFill>
          </fill>
        </dxf>
        <dxf>
          <fill>
            <patternFill>
              <bgColor theme="8" tint="0.39994506668294322"/>
            </patternFill>
          </fill>
        </dxf>
        <dxf>
          <fill>
            <patternFill>
              <bgColor theme="8" tint="0.59996337778862885"/>
            </patternFill>
          </fill>
        </dxf>
        <dxf>
          <fill>
            <patternFill>
              <bgColor rgb="FFC00000"/>
            </patternFill>
          </fill>
        </dxf>
        <dxf>
          <fill>
            <patternFill>
              <bgColor theme="3" tint="0.79998168889431442"/>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10"/>
            <x14:slicerStyleElement type="selectedItemWithNoData" dxfId="9"/>
            <x14:slicerStyleElement type="hoveredUnselectedItemWithData" dxfId="8"/>
            <x14:slicerStyleElement type="hoveredSelectedItemWithData" dxfId="7"/>
            <x14:slicerStyleElement type="hoveredUnselectedItemWithNoData" dxfId="6"/>
            <x14:slicerStyleElement type="hoveredSelectedItemWithNoData" dxfId="5"/>
          </x14:slicerStyleElements>
        </x14:slicerStyle>
        <x14:slicerStyle name="Slicer Style 2">
          <x14:slicerStyleElements>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alcChain" Target="calcChain.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63" Type="http://schemas.openxmlformats.org/officeDocument/2006/relationships/customXml" Target="../customXml/item37.xml"/><Relationship Id="rId68" Type="http://schemas.openxmlformats.org/officeDocument/2006/relationships/customXml" Target="../customXml/item4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3.xml"/><Relationship Id="rId11" Type="http://schemas.openxmlformats.org/officeDocument/2006/relationships/pivotCacheDefinition" Target="pivotCache/pivotCacheDefinition9.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66" Type="http://schemas.openxmlformats.org/officeDocument/2006/relationships/customXml" Target="../customXml/item40.xml"/><Relationship Id="rId5" Type="http://schemas.openxmlformats.org/officeDocument/2006/relationships/pivotCacheDefinition" Target="pivotCache/pivotCacheDefinition3.xml"/><Relationship Id="rId61" Type="http://schemas.openxmlformats.org/officeDocument/2006/relationships/customXml" Target="../customXml/item35.xml"/><Relationship Id="rId19" Type="http://schemas.microsoft.com/office/2007/relationships/slicerCache" Target="slicerCaches/slicerCache1.xml"/><Relationship Id="rId14" Type="http://schemas.openxmlformats.org/officeDocument/2006/relationships/pivotCacheDefinition" Target="pivotCache/pivotCacheDefinition12.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8" Type="http://schemas.openxmlformats.org/officeDocument/2006/relationships/pivotCacheDefinition" Target="pivotCache/pivotCacheDefinition6.xml"/><Relationship Id="rId51" Type="http://schemas.openxmlformats.org/officeDocument/2006/relationships/customXml" Target="../customXml/item25.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67" Type="http://schemas.openxmlformats.org/officeDocument/2006/relationships/customXml" Target="../customXml/item41.xml"/><Relationship Id="rId20" Type="http://schemas.microsoft.com/office/2007/relationships/slicerCache" Target="slicerCaches/slicerCache2.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8.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65" Type="http://schemas.openxmlformats.org/officeDocument/2006/relationships/customXml" Target="../customXml/item3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39"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Dashboard.xlsx]Analysis!PivotTable19</c:name>
    <c:fmtId val="3"/>
  </c:pivotSource>
  <c:chart>
    <c:autoTitleDeleted val="0"/>
    <c:pivotFmts>
      <c:pivotFmt>
        <c:idx val="0"/>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prstDash val="sysDot"/>
            <a:round/>
            <a:tail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prstDash val="sysDot"/>
            <a:round/>
            <a:tail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prstDash val="sysDot"/>
            <a:round/>
            <a:tail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25842871732014E-2"/>
          <c:y val="0.19763643261345143"/>
          <c:w val="0.91437415712826797"/>
          <c:h val="0.67548092671726578"/>
        </c:manualLayout>
      </c:layout>
      <c:lineChart>
        <c:grouping val="standard"/>
        <c:varyColors val="0"/>
        <c:ser>
          <c:idx val="0"/>
          <c:order val="0"/>
          <c:tx>
            <c:strRef>
              <c:f>Analysis!$W$24</c:f>
              <c:strCache>
                <c:ptCount val="1"/>
                <c:pt idx="0">
                  <c:v>Total Income</c:v>
                </c:pt>
              </c:strCache>
            </c:strRef>
          </c:tx>
          <c:spPr>
            <a:ln w="28575" cap="rnd">
              <a:solidFill>
                <a:schemeClr val="bg1"/>
              </a:solidFill>
              <a:round/>
            </a:ln>
            <a:effectLst/>
          </c:spPr>
          <c:marker>
            <c:symbol val="none"/>
          </c:marker>
          <c:cat>
            <c:strRef>
              <c:f>Analysis!$V$25:$V$37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Analysis!$W$25:$W$37</c:f>
              <c:numCache>
                <c:formatCode>\$#,##0;\(\$#,##0\);\$#,##0</c:formatCode>
                <c:ptCount val="12"/>
                <c:pt idx="0">
                  <c:v>8000</c:v>
                </c:pt>
                <c:pt idx="1">
                  <c:v>8000</c:v>
                </c:pt>
                <c:pt idx="2">
                  <c:v>12000</c:v>
                </c:pt>
                <c:pt idx="3">
                  <c:v>8000</c:v>
                </c:pt>
                <c:pt idx="4">
                  <c:v>8000</c:v>
                </c:pt>
                <c:pt idx="5">
                  <c:v>8000</c:v>
                </c:pt>
                <c:pt idx="6">
                  <c:v>8500</c:v>
                </c:pt>
                <c:pt idx="7">
                  <c:v>12750</c:v>
                </c:pt>
                <c:pt idx="8">
                  <c:v>8500</c:v>
                </c:pt>
                <c:pt idx="9">
                  <c:v>4000</c:v>
                </c:pt>
                <c:pt idx="10">
                  <c:v>4000</c:v>
                </c:pt>
                <c:pt idx="11">
                  <c:v>4000</c:v>
                </c:pt>
              </c:numCache>
            </c:numRef>
          </c:val>
          <c:smooth val="1"/>
          <c:extLst>
            <c:ext xmlns:c16="http://schemas.microsoft.com/office/drawing/2014/chart" uri="{C3380CC4-5D6E-409C-BE32-E72D297353CC}">
              <c16:uniqueId val="{00000000-758F-4EA7-9AF8-B4A9B1CE9A64}"/>
            </c:ext>
          </c:extLst>
        </c:ser>
        <c:ser>
          <c:idx val="1"/>
          <c:order val="1"/>
          <c:tx>
            <c:strRef>
              <c:f>Analysis!$X$24</c:f>
              <c:strCache>
                <c:ptCount val="1"/>
                <c:pt idx="0">
                  <c:v>Total Expenses</c:v>
                </c:pt>
              </c:strCache>
            </c:strRef>
          </c:tx>
          <c:spPr>
            <a:ln w="28575" cap="rnd">
              <a:solidFill>
                <a:schemeClr val="bg1"/>
              </a:solidFill>
              <a:prstDash val="sysDot"/>
              <a:round/>
              <a:tailEnd type="none"/>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Analysis!$V$25:$V$37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Analysis!$X$25:$X$37</c:f>
              <c:numCache>
                <c:formatCode>\$#,##0.00;\(\$#,##0.00\);\$#,##0.00</c:formatCode>
                <c:ptCount val="12"/>
                <c:pt idx="0">
                  <c:v>3803.08</c:v>
                </c:pt>
                <c:pt idx="1">
                  <c:v>4044.04</c:v>
                </c:pt>
                <c:pt idx="2">
                  <c:v>4321.25</c:v>
                </c:pt>
                <c:pt idx="3">
                  <c:v>4829.53</c:v>
                </c:pt>
                <c:pt idx="4">
                  <c:v>12760.97</c:v>
                </c:pt>
                <c:pt idx="5">
                  <c:v>13027.43</c:v>
                </c:pt>
                <c:pt idx="6">
                  <c:v>4853.76</c:v>
                </c:pt>
                <c:pt idx="7">
                  <c:v>4035.88</c:v>
                </c:pt>
                <c:pt idx="8">
                  <c:v>4353.0200000000004</c:v>
                </c:pt>
                <c:pt idx="9">
                  <c:v>2242.37</c:v>
                </c:pt>
                <c:pt idx="10">
                  <c:v>2118.15</c:v>
                </c:pt>
                <c:pt idx="11">
                  <c:v>2652.94</c:v>
                </c:pt>
              </c:numCache>
            </c:numRef>
          </c:val>
          <c:smooth val="1"/>
          <c:extLst>
            <c:ext xmlns:c16="http://schemas.microsoft.com/office/drawing/2014/chart" uri="{C3380CC4-5D6E-409C-BE32-E72D297353CC}">
              <c16:uniqueId val="{00000001-758F-4EA7-9AF8-B4A9B1CE9A64}"/>
            </c:ext>
          </c:extLst>
        </c:ser>
        <c:dLbls>
          <c:showLegendKey val="0"/>
          <c:showVal val="0"/>
          <c:showCatName val="0"/>
          <c:showSerName val="0"/>
          <c:showPercent val="0"/>
          <c:showBubbleSize val="0"/>
        </c:dLbls>
        <c:smooth val="0"/>
        <c:axId val="554380720"/>
        <c:axId val="554389040"/>
      </c:lineChart>
      <c:catAx>
        <c:axId val="5543807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554389040"/>
        <c:crossesAt val="0"/>
        <c:auto val="1"/>
        <c:lblAlgn val="ctr"/>
        <c:lblOffset val="100"/>
        <c:noMultiLvlLbl val="0"/>
      </c:catAx>
      <c:valAx>
        <c:axId val="554389040"/>
        <c:scaling>
          <c:orientation val="minMax"/>
          <c:min val="0"/>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554380720"/>
        <c:crosses val="autoZero"/>
        <c:crossBetween val="between"/>
        <c:majorUnit val="16000"/>
      </c:valAx>
      <c:spPr>
        <a:noFill/>
        <a:ln>
          <a:noFill/>
        </a:ln>
        <a:effectLst/>
      </c:spPr>
    </c:plotArea>
    <c:legend>
      <c:legendPos val="tr"/>
      <c:layout>
        <c:manualLayout>
          <c:xMode val="edge"/>
          <c:yMode val="edge"/>
          <c:x val="0.6273747894428503"/>
          <c:y val="8.5691071173214589E-2"/>
          <c:w val="0.36617971299095964"/>
          <c:h val="0.17025250897231439"/>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Dashboard.xlsx]Analysis!PivotTable21</c:name>
    <c:fmtId val="2"/>
  </c:pivotSource>
  <c:chart>
    <c:autoTitleDeleted val="1"/>
    <c:pivotFmts>
      <c:pivotFmt>
        <c:idx val="0"/>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Analysis!$AB$10</c:f>
              <c:strCache>
                <c:ptCount val="1"/>
                <c:pt idx="0">
                  <c:v>Total</c:v>
                </c:pt>
              </c:strCache>
            </c:strRef>
          </c:tx>
          <c:spPr>
            <a:ln w="28575" cap="rnd">
              <a:solidFill>
                <a:schemeClr val="bg1"/>
              </a:solidFill>
              <a:round/>
            </a:ln>
            <a:effectLst/>
          </c:spPr>
          <c:marker>
            <c:symbol val="none"/>
          </c:marker>
          <c:cat>
            <c:strRef>
              <c:f>Analysis!$AA$11:$AA$23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Analysis!$AB$11:$AB$23</c:f>
              <c:numCache>
                <c:formatCode>\$#,##0.00;\(\$#,##0.00\);\$#,##0.00</c:formatCode>
                <c:ptCount val="12"/>
                <c:pt idx="0">
                  <c:v>4196.92</c:v>
                </c:pt>
                <c:pt idx="1">
                  <c:v>3955.96</c:v>
                </c:pt>
                <c:pt idx="2">
                  <c:v>7678.75</c:v>
                </c:pt>
                <c:pt idx="3">
                  <c:v>3170.4700000000003</c:v>
                </c:pt>
                <c:pt idx="4">
                  <c:v>-4760.9699999999993</c:v>
                </c:pt>
                <c:pt idx="5">
                  <c:v>-5027.43</c:v>
                </c:pt>
                <c:pt idx="6">
                  <c:v>3646.24</c:v>
                </c:pt>
                <c:pt idx="7">
                  <c:v>8714.119999999999</c:v>
                </c:pt>
                <c:pt idx="8">
                  <c:v>4146.9799999999996</c:v>
                </c:pt>
                <c:pt idx="9">
                  <c:v>1757.63</c:v>
                </c:pt>
                <c:pt idx="10">
                  <c:v>1881.85</c:v>
                </c:pt>
                <c:pt idx="11">
                  <c:v>1347.06</c:v>
                </c:pt>
              </c:numCache>
            </c:numRef>
          </c:val>
          <c:smooth val="1"/>
          <c:extLst>
            <c:ext xmlns:c16="http://schemas.microsoft.com/office/drawing/2014/chart" uri="{C3380CC4-5D6E-409C-BE32-E72D297353CC}">
              <c16:uniqueId val="{00000000-9C22-4FF7-82E2-B355ED98803F}"/>
            </c:ext>
          </c:extLst>
        </c:ser>
        <c:dLbls>
          <c:showLegendKey val="0"/>
          <c:showVal val="0"/>
          <c:showCatName val="0"/>
          <c:showSerName val="0"/>
          <c:showPercent val="0"/>
          <c:showBubbleSize val="0"/>
        </c:dLbls>
        <c:smooth val="0"/>
        <c:axId val="554405264"/>
        <c:axId val="554402352"/>
      </c:lineChart>
      <c:catAx>
        <c:axId val="5544052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554402352"/>
        <c:crosses val="autoZero"/>
        <c:auto val="1"/>
        <c:lblAlgn val="ctr"/>
        <c:lblOffset val="100"/>
        <c:noMultiLvlLbl val="0"/>
      </c:catAx>
      <c:valAx>
        <c:axId val="554402352"/>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554405264"/>
        <c:crosses val="autoZero"/>
        <c:crossBetween val="between"/>
        <c:majorUnit val="1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Dashboard.xlsx]Analysis!PivotTable9</c:name>
    <c:fmtId val="4"/>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6389448946306"/>
          <c:y val="5.9315866828588679E-2"/>
          <c:w val="0.85403610551053688"/>
          <c:h val="0.68985847988648707"/>
        </c:manualLayout>
      </c:layout>
      <c:barChart>
        <c:barDir val="col"/>
        <c:grouping val="clustered"/>
        <c:varyColors val="0"/>
        <c:ser>
          <c:idx val="0"/>
          <c:order val="0"/>
          <c:tx>
            <c:strRef>
              <c:f>Analysis!$F$15</c:f>
              <c:strCache>
                <c:ptCount val="1"/>
                <c:pt idx="0">
                  <c:v>Total</c:v>
                </c:pt>
              </c:strCache>
            </c:strRef>
          </c:tx>
          <c:spPr>
            <a:solidFill>
              <a:schemeClr val="bg1"/>
            </a:solidFill>
            <a:ln>
              <a:noFill/>
            </a:ln>
            <a:effectLst/>
          </c:spPr>
          <c:invertIfNegative val="0"/>
          <c:cat>
            <c:strRef>
              <c:f>Analysis!$E$16:$E$21</c:f>
              <c:strCache>
                <c:ptCount val="5"/>
                <c:pt idx="0">
                  <c:v>Groceries</c:v>
                </c:pt>
                <c:pt idx="1">
                  <c:v>Home Improvement</c:v>
                </c:pt>
                <c:pt idx="2">
                  <c:v>Mortgage &amp; Rent</c:v>
                </c:pt>
                <c:pt idx="3">
                  <c:v>Restaurants</c:v>
                </c:pt>
                <c:pt idx="4">
                  <c:v>Utilities</c:v>
                </c:pt>
              </c:strCache>
            </c:strRef>
          </c:cat>
          <c:val>
            <c:numRef>
              <c:f>Analysis!$F$16:$F$21</c:f>
              <c:numCache>
                <c:formatCode>\$#,##0.00;\(\$#,##0.00\);\$#,##0.00</c:formatCode>
                <c:ptCount val="5"/>
                <c:pt idx="0">
                  <c:v>2795.21</c:v>
                </c:pt>
                <c:pt idx="1">
                  <c:v>19092.87</c:v>
                </c:pt>
                <c:pt idx="2">
                  <c:v>24754.5</c:v>
                </c:pt>
                <c:pt idx="3">
                  <c:v>2613.02</c:v>
                </c:pt>
                <c:pt idx="4">
                  <c:v>2776</c:v>
                </c:pt>
              </c:numCache>
            </c:numRef>
          </c:val>
          <c:extLst>
            <c:ext xmlns:c16="http://schemas.microsoft.com/office/drawing/2014/chart" uri="{C3380CC4-5D6E-409C-BE32-E72D297353CC}">
              <c16:uniqueId val="{00000001-75D4-46C5-A67F-D8CC45680318}"/>
            </c:ext>
          </c:extLst>
        </c:ser>
        <c:dLbls>
          <c:showLegendKey val="0"/>
          <c:showVal val="0"/>
          <c:showCatName val="0"/>
          <c:showSerName val="0"/>
          <c:showPercent val="0"/>
          <c:showBubbleSize val="0"/>
        </c:dLbls>
        <c:gapWidth val="65"/>
        <c:overlap val="-29"/>
        <c:axId val="1602071200"/>
        <c:axId val="1602082848"/>
      </c:barChart>
      <c:catAx>
        <c:axId val="160207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Arial Black" panose="020B0A04020102020204" pitchFamily="34" charset="0"/>
                <a:ea typeface="+mn-ea"/>
                <a:cs typeface="+mn-cs"/>
              </a:defRPr>
            </a:pPr>
            <a:endParaRPr lang="en-US"/>
          </a:p>
        </c:txPr>
        <c:crossAx val="1602082848"/>
        <c:crosses val="autoZero"/>
        <c:auto val="1"/>
        <c:lblAlgn val="ctr"/>
        <c:lblOffset val="100"/>
        <c:noMultiLvlLbl val="0"/>
      </c:catAx>
      <c:valAx>
        <c:axId val="1602082848"/>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602071200"/>
        <c:crosses val="autoZero"/>
        <c:crossBetween val="between"/>
        <c:majorUnit val="3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Dashboard.xlsx]Analysis!PivotTable11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dLbl>
          <c:idx val="0"/>
          <c:layout>
            <c:manualLayout>
              <c:x val="5.6923884514435696E-2"/>
              <c:y val="-3.32735491396908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1">
              <a:lumMod val="85000"/>
            </a:schemeClr>
          </a:solidFill>
          <a:ln w="19050">
            <a:solidFill>
              <a:schemeClr val="lt1"/>
            </a:solidFill>
          </a:ln>
          <a:effectLst/>
        </c:spPr>
        <c:dLbl>
          <c:idx val="0"/>
          <c:layout>
            <c:manualLayout>
              <c:x val="-1.5313648293963254E-2"/>
              <c:y val="-1.2417979002624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bg1">
              <a:lumMod val="95000"/>
            </a:schemeClr>
          </a:solidFill>
          <a:ln w="19050">
            <a:solidFill>
              <a:schemeClr val="lt1"/>
            </a:solidFill>
          </a:ln>
          <a:effectLst/>
        </c:spPr>
        <c:dLbl>
          <c:idx val="0"/>
          <c:layout>
            <c:manualLayout>
              <c:x val="-3.6395231846019296E-2"/>
              <c:y val="-2.05376932050160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c:spPr>
        <c:dLbl>
          <c:idx val="0"/>
          <c:layout>
            <c:manualLayout>
              <c:x val="5.6923884514435696E-2"/>
              <c:y val="-3.32735491396908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85000"/>
            </a:schemeClr>
          </a:solidFill>
          <a:ln w="19050">
            <a:solidFill>
              <a:schemeClr val="lt1"/>
            </a:solidFill>
          </a:ln>
          <a:effectLst/>
        </c:spPr>
        <c:dLbl>
          <c:idx val="0"/>
          <c:layout>
            <c:manualLayout>
              <c:x val="-1.5313648293963254E-2"/>
              <c:y val="-1.2417979002624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bg1">
              <a:lumMod val="95000"/>
            </a:schemeClr>
          </a:solidFill>
          <a:ln w="19050">
            <a:solidFill>
              <a:schemeClr val="lt1"/>
            </a:solidFill>
          </a:ln>
          <a:effectLst/>
        </c:spPr>
        <c:dLbl>
          <c:idx val="0"/>
          <c:layout>
            <c:manualLayout>
              <c:x val="-3.6395231846019296E-2"/>
              <c:y val="-2.05376932050160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1"/>
          </a:solidFill>
          <a:ln w="19050">
            <a:solidFill>
              <a:schemeClr val="lt1"/>
            </a:solidFill>
          </a:ln>
          <a:effectLst/>
        </c:spPr>
        <c:dLbl>
          <c:idx val="0"/>
          <c:layout>
            <c:manualLayout>
              <c:x val="5.6923884514435696E-2"/>
              <c:y val="-3.3273549139690869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bg1">
              <a:lumMod val="85000"/>
            </a:schemeClr>
          </a:solidFill>
          <a:ln w="19050">
            <a:solidFill>
              <a:schemeClr val="lt1"/>
            </a:solidFill>
          </a:ln>
          <a:effectLst/>
        </c:spPr>
        <c:dLbl>
          <c:idx val="0"/>
          <c:layout>
            <c:manualLayout>
              <c:x val="-1.5313648293963254E-2"/>
              <c:y val="-1.2417979002624693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bg1">
              <a:lumMod val="95000"/>
            </a:schemeClr>
          </a:solidFill>
          <a:ln w="19050">
            <a:solidFill>
              <a:schemeClr val="lt1"/>
            </a:solidFill>
          </a:ln>
          <a:effectLst/>
        </c:spPr>
        <c:dLbl>
          <c:idx val="0"/>
          <c:layout>
            <c:manualLayout>
              <c:x val="-3.6395231846019296E-2"/>
              <c:y val="-2.0537693205016038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34718374875264"/>
          <c:y val="0.10039290039696909"/>
          <c:w val="0.40745259788863009"/>
          <c:h val="0.89960709960303087"/>
        </c:manualLayout>
      </c:layout>
      <c:pieChart>
        <c:varyColors val="1"/>
        <c:ser>
          <c:idx val="0"/>
          <c:order val="0"/>
          <c:tx>
            <c:strRef>
              <c:f>Analysis!$J$21</c:f>
              <c:strCache>
                <c:ptCount val="1"/>
                <c:pt idx="0">
                  <c:v>Total</c:v>
                </c:pt>
              </c:strCache>
            </c:strRef>
          </c:tx>
          <c:dPt>
            <c:idx val="0"/>
            <c:bubble3D val="0"/>
            <c:spPr>
              <a:solidFill>
                <a:schemeClr val="bg1"/>
              </a:solidFill>
              <a:ln w="19050">
                <a:solidFill>
                  <a:schemeClr val="lt1"/>
                </a:solidFill>
              </a:ln>
              <a:effectLst/>
            </c:spPr>
          </c:dPt>
          <c:dPt>
            <c:idx val="1"/>
            <c:bubble3D val="0"/>
            <c:spPr>
              <a:solidFill>
                <a:schemeClr val="bg1">
                  <a:lumMod val="85000"/>
                </a:schemeClr>
              </a:solidFill>
              <a:ln w="19050">
                <a:solidFill>
                  <a:schemeClr val="lt1"/>
                </a:solidFill>
              </a:ln>
              <a:effectLst/>
            </c:spPr>
          </c:dPt>
          <c:dPt>
            <c:idx val="2"/>
            <c:bubble3D val="0"/>
            <c:spPr>
              <a:solidFill>
                <a:schemeClr val="bg1">
                  <a:lumMod val="95000"/>
                </a:schemeClr>
              </a:solidFill>
              <a:ln w="19050">
                <a:solidFill>
                  <a:schemeClr val="lt1"/>
                </a:solidFill>
              </a:ln>
              <a:effectLst/>
            </c:spPr>
          </c:dPt>
          <c:dLbls>
            <c:dLbl>
              <c:idx val="0"/>
              <c:layout>
                <c:manualLayout>
                  <c:x val="5.6923884514435696E-2"/>
                  <c:y val="-3.3273549139690869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1.5313648293963254E-2"/>
                  <c:y val="-1.2417979002624693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2"/>
              <c:layout>
                <c:manualLayout>
                  <c:x val="-3.6395231846019296E-2"/>
                  <c:y val="-2.0537693205016038E-2"/>
                </c:manualLayout>
              </c:layout>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Analysis!$I$22:$I$25</c:f>
              <c:strCache>
                <c:ptCount val="3"/>
                <c:pt idx="0">
                  <c:v>Checking</c:v>
                </c:pt>
                <c:pt idx="1">
                  <c:v>Platinum Card</c:v>
                </c:pt>
                <c:pt idx="2">
                  <c:v>Silver Card</c:v>
                </c:pt>
              </c:strCache>
            </c:strRef>
          </c:cat>
          <c:val>
            <c:numRef>
              <c:f>Analysis!$J$22:$J$25</c:f>
              <c:numCache>
                <c:formatCode>_("$"* #,##0.00_);_("$"* \(#,##0.00\);_("$"* "-"??_);_(@_)</c:formatCode>
                <c:ptCount val="3"/>
                <c:pt idx="0">
                  <c:v>49456.78</c:v>
                </c:pt>
                <c:pt idx="1">
                  <c:v>8996.31</c:v>
                </c:pt>
                <c:pt idx="2">
                  <c:v>4589.33</c:v>
                </c:pt>
              </c:numCache>
            </c:numRef>
          </c:val>
          <c:extLst>
            <c:ext xmlns:c16="http://schemas.microsoft.com/office/drawing/2014/chart" uri="{C3380CC4-5D6E-409C-BE32-E72D297353CC}">
              <c16:uniqueId val="{00000007-834A-4627-8AA3-880AEEC901A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208333333333333"/>
          <c:y val="6.2839020122484792E-3"/>
          <c:w val="0.1454943080169433"/>
          <c:h val="0.2916275035326129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Dashboard.xlsx]Analysis!PivotTable14</c:name>
    <c:fmtId val="2"/>
  </c:pivotSource>
  <c:chart>
    <c:autoTitleDeleted val="1"/>
    <c:pivotFmts>
      <c:pivotFmt>
        <c:idx val="0"/>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Analysis!$P$14</c:f>
              <c:strCache>
                <c:ptCount val="1"/>
                <c:pt idx="0">
                  <c:v>Total</c:v>
                </c:pt>
              </c:strCache>
            </c:strRef>
          </c:tx>
          <c:spPr>
            <a:solidFill>
              <a:schemeClr val="bg1"/>
            </a:solidFill>
            <a:ln>
              <a:noFill/>
            </a:ln>
            <a:effectLst/>
            <a:sp3d/>
          </c:spPr>
          <c:invertIfNegative val="0"/>
          <c:cat>
            <c:strRef>
              <c:f>Analysis!$O$15:$O$20</c:f>
              <c:strCache>
                <c:ptCount val="5"/>
                <c:pt idx="0">
                  <c:v>Amazon</c:v>
                </c:pt>
                <c:pt idx="1">
                  <c:v>Grocery Store</c:v>
                </c:pt>
                <c:pt idx="2">
                  <c:v>Hardware Store</c:v>
                </c:pt>
                <c:pt idx="3">
                  <c:v>Mike's Construction Co.</c:v>
                </c:pt>
                <c:pt idx="4">
                  <c:v>Mortgage Payment</c:v>
                </c:pt>
              </c:strCache>
            </c:strRef>
          </c:cat>
          <c:val>
            <c:numRef>
              <c:f>Analysis!$P$15:$P$20</c:f>
              <c:numCache>
                <c:formatCode>\$#,##0.00;\(\$#,##0.00\);\$#,##0.00</c:formatCode>
                <c:ptCount val="5"/>
                <c:pt idx="0">
                  <c:v>1970.04</c:v>
                </c:pt>
                <c:pt idx="1">
                  <c:v>2764.33</c:v>
                </c:pt>
                <c:pt idx="2">
                  <c:v>1892.87</c:v>
                </c:pt>
                <c:pt idx="3">
                  <c:v>17200</c:v>
                </c:pt>
                <c:pt idx="4">
                  <c:v>24754.5</c:v>
                </c:pt>
              </c:numCache>
            </c:numRef>
          </c:val>
          <c:extLst>
            <c:ext xmlns:c16="http://schemas.microsoft.com/office/drawing/2014/chart" uri="{C3380CC4-5D6E-409C-BE32-E72D297353CC}">
              <c16:uniqueId val="{00000001-46A7-419C-9DF8-50FD67EF9E82}"/>
            </c:ext>
          </c:extLst>
        </c:ser>
        <c:dLbls>
          <c:showLegendKey val="0"/>
          <c:showVal val="0"/>
          <c:showCatName val="0"/>
          <c:showSerName val="0"/>
          <c:showPercent val="0"/>
          <c:showBubbleSize val="0"/>
        </c:dLbls>
        <c:gapWidth val="150"/>
        <c:shape val="box"/>
        <c:axId val="1602078272"/>
        <c:axId val="1602084512"/>
        <c:axId val="0"/>
      </c:bar3DChart>
      <c:catAx>
        <c:axId val="160207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602084512"/>
        <c:crosses val="autoZero"/>
        <c:auto val="1"/>
        <c:lblAlgn val="ctr"/>
        <c:lblOffset val="100"/>
        <c:noMultiLvlLbl val="0"/>
      </c:catAx>
      <c:valAx>
        <c:axId val="1602084512"/>
        <c:scaling>
          <c:orientation val="minMax"/>
        </c:scaling>
        <c:delete val="0"/>
        <c:axPos val="b"/>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crossAx val="1602078272"/>
        <c:crosses val="autoZero"/>
        <c:crossBetween val="between"/>
        <c:majorUnit val="1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Visuals!A1"/></Relationships>
</file>

<file path=xl/drawings/_rels/drawing2.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hyperlink" Target="#Visuals!A1"/><Relationship Id="rId3" Type="http://schemas.openxmlformats.org/officeDocument/2006/relationships/chart" Target="../charts/chart1.xml"/><Relationship Id="rId7" Type="http://schemas.openxmlformats.org/officeDocument/2006/relationships/chart" Target="../charts/chart5.xml"/><Relationship Id="rId12" Type="http://schemas.microsoft.com/office/2007/relationships/hdphoto" Target="../media/hdphoto2.wdp"/><Relationship Id="rId2" Type="http://schemas.openxmlformats.org/officeDocument/2006/relationships/image" Target="../media/image3.emf"/><Relationship Id="rId16" Type="http://schemas.openxmlformats.org/officeDocument/2006/relationships/image" Target="../media/image8.jpeg"/><Relationship Id="rId1" Type="http://schemas.openxmlformats.org/officeDocument/2006/relationships/image" Target="../media/image2.emf"/><Relationship Id="rId6" Type="http://schemas.openxmlformats.org/officeDocument/2006/relationships/chart" Target="../charts/chart4.xml"/><Relationship Id="rId11" Type="http://schemas.openxmlformats.org/officeDocument/2006/relationships/image" Target="../media/image6.png"/><Relationship Id="rId5" Type="http://schemas.openxmlformats.org/officeDocument/2006/relationships/chart" Target="../charts/chart3.xml"/><Relationship Id="rId15" Type="http://schemas.openxmlformats.org/officeDocument/2006/relationships/hyperlink" Target="#Analysis!A1"/><Relationship Id="rId10" Type="http://schemas.microsoft.com/office/2007/relationships/hdphoto" Target="../media/hdphoto1.wdp"/><Relationship Id="rId4" Type="http://schemas.openxmlformats.org/officeDocument/2006/relationships/chart" Target="../charts/chart2.xml"/><Relationship Id="rId9" Type="http://schemas.openxmlformats.org/officeDocument/2006/relationships/image" Target="../media/image5.png"/><Relationship Id="rId14"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16</xdr:col>
      <xdr:colOff>324971</xdr:colOff>
      <xdr:row>6</xdr:row>
      <xdr:rowOff>75081</xdr:rowOff>
    </xdr:from>
    <xdr:to>
      <xdr:col>18</xdr:col>
      <xdr:colOff>697310</xdr:colOff>
      <xdr:row>11</xdr:row>
      <xdr:rowOff>33619</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42514821-B870-4F55-AEC2-59ACFBECF16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116736" y="1218081"/>
              <a:ext cx="2476500" cy="911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321609</xdr:colOff>
      <xdr:row>11</xdr:row>
      <xdr:rowOff>97492</xdr:rowOff>
    </xdr:from>
    <xdr:to>
      <xdr:col>19</xdr:col>
      <xdr:colOff>204592</xdr:colOff>
      <xdr:row>19</xdr:row>
      <xdr:rowOff>0</xdr:rowOff>
    </xdr:to>
    <mc:AlternateContent xmlns:mc="http://schemas.openxmlformats.org/markup-compatibility/2006" xmlns:a14="http://schemas.microsoft.com/office/drawing/2010/main">
      <mc:Choice Requires="a14">
        <xdr:graphicFrame macro="">
          <xdr:nvGraphicFramePr>
            <xdr:cNvPr id="5" name="Month Name">
              <a:extLst>
                <a:ext uri="{FF2B5EF4-FFF2-40B4-BE49-F238E27FC236}">
                  <a16:creationId xmlns:a16="http://schemas.microsoft.com/office/drawing/2014/main" id="{0DD47738-57C4-451C-8E46-878DD861B51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5113374" y="2192992"/>
              <a:ext cx="3342715" cy="14265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461818</xdr:colOff>
      <xdr:row>7</xdr:row>
      <xdr:rowOff>129887</xdr:rowOff>
    </xdr:from>
    <xdr:to>
      <xdr:col>38</xdr:col>
      <xdr:colOff>461818</xdr:colOff>
      <xdr:row>14</xdr:row>
      <xdr:rowOff>18473</xdr:rowOff>
    </xdr:to>
    <xdr:pic>
      <xdr:nvPicPr>
        <xdr:cNvPr id="6" name="Picture 5">
          <a:hlinkClick xmlns:r="http://schemas.openxmlformats.org/officeDocument/2006/relationships" r:id="rId1"/>
          <a:extLst>
            <a:ext uri="{FF2B5EF4-FFF2-40B4-BE49-F238E27FC236}">
              <a16:creationId xmlns:a16="http://schemas.microsoft.com/office/drawing/2014/main" id="{8386E566-7D94-4C7F-A1FA-2C2F2940D1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941818" y="1443182"/>
          <a:ext cx="1212273" cy="1201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27</xdr:col>
      <xdr:colOff>333181</xdr:colOff>
      <xdr:row>30</xdr:row>
      <xdr:rowOff>113393</xdr:rowOff>
    </xdr:from>
    <xdr:to>
      <xdr:col>79</xdr:col>
      <xdr:colOff>238124</xdr:colOff>
      <xdr:row>114</xdr:row>
      <xdr:rowOff>119062</xdr:rowOff>
    </xdr:to>
    <xdr:sp macro="" textlink="">
      <xdr:nvSpPr>
        <xdr:cNvPr id="2" name="Rectangle: Rounded Corners 1">
          <a:extLst>
            <a:ext uri="{FF2B5EF4-FFF2-40B4-BE49-F238E27FC236}">
              <a16:creationId xmlns:a16="http://schemas.microsoft.com/office/drawing/2014/main" id="{70001BE9-45E0-40E7-8F6B-0477BF2101C6}"/>
            </a:ext>
          </a:extLst>
        </xdr:cNvPr>
        <xdr:cNvSpPr/>
      </xdr:nvSpPr>
      <xdr:spPr>
        <a:xfrm>
          <a:off x="16406619" y="5471206"/>
          <a:ext cx="30861193" cy="15007544"/>
        </a:xfrm>
        <a:prstGeom prst="roundRect">
          <a:avLst>
            <a:gd name="adj" fmla="val 4902"/>
          </a:avLst>
        </a:prstGeom>
        <a:solidFill>
          <a:srgbClr val="0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141110</xdr:colOff>
      <xdr:row>44</xdr:row>
      <xdr:rowOff>89295</xdr:rowOff>
    </xdr:from>
    <xdr:to>
      <xdr:col>41</xdr:col>
      <xdr:colOff>224116</xdr:colOff>
      <xdr:row>67</xdr:row>
      <xdr:rowOff>-1</xdr:rowOff>
    </xdr:to>
    <xdr:sp macro="" textlink="">
      <xdr:nvSpPr>
        <xdr:cNvPr id="3" name="Rectangle: Rounded Corners 2">
          <a:extLst>
            <a:ext uri="{FF2B5EF4-FFF2-40B4-BE49-F238E27FC236}">
              <a16:creationId xmlns:a16="http://schemas.microsoft.com/office/drawing/2014/main" id="{A5B194A5-93E2-4412-9A88-58AEC06B8A58}"/>
            </a:ext>
          </a:extLst>
        </xdr:cNvPr>
        <xdr:cNvSpPr/>
      </xdr:nvSpPr>
      <xdr:spPr>
        <a:xfrm>
          <a:off x="16933332" y="7850406"/>
          <a:ext cx="7879395" cy="3967649"/>
        </a:xfrm>
        <a:prstGeom prst="roundRect">
          <a:avLst>
            <a:gd name="adj" fmla="val 14001"/>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BFBFB"/>
            </a:solidFill>
            <a:latin typeface="Arial Black" panose="020B0A04020102020204" pitchFamily="34" charset="0"/>
          </a:endParaRPr>
        </a:p>
      </xdr:txBody>
    </xdr:sp>
    <xdr:clientData/>
  </xdr:twoCellAnchor>
  <xdr:oneCellAnchor>
    <xdr:from>
      <xdr:col>28</xdr:col>
      <xdr:colOff>203524</xdr:colOff>
      <xdr:row>48</xdr:row>
      <xdr:rowOff>29766</xdr:rowOff>
    </xdr:from>
    <xdr:ext cx="6463975" cy="1000582"/>
    <xdr:sp macro="" textlink="">
      <xdr:nvSpPr>
        <xdr:cNvPr id="4" name="TextBox 3">
          <a:extLst>
            <a:ext uri="{FF2B5EF4-FFF2-40B4-BE49-F238E27FC236}">
              <a16:creationId xmlns:a16="http://schemas.microsoft.com/office/drawing/2014/main" id="{31057765-817A-49E6-ACD5-6FF320BFDBA9}"/>
            </a:ext>
          </a:extLst>
        </xdr:cNvPr>
        <xdr:cNvSpPr txBox="1"/>
      </xdr:nvSpPr>
      <xdr:spPr>
        <a:xfrm>
          <a:off x="16872274" y="8602266"/>
          <a:ext cx="6463975" cy="1000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4000" b="1">
              <a:solidFill>
                <a:srgbClr val="F8F8F6"/>
              </a:solidFill>
              <a:latin typeface="Arial Rounded MT Bold" panose="020F0704030504030204" pitchFamily="34" charset="0"/>
              <a:ea typeface="Calibri" panose="020F0502020204030204" pitchFamily="34" charset="0"/>
              <a:cs typeface="Calibri" panose="020F0502020204030204" pitchFamily="34" charset="0"/>
            </a:rPr>
            <a:t> </a:t>
          </a:r>
          <a:r>
            <a:rPr lang="en-US" sz="6000" b="1">
              <a:solidFill>
                <a:schemeClr val="bg1">
                  <a:lumMod val="50000"/>
                </a:schemeClr>
              </a:solidFill>
              <a:latin typeface="Castellar" panose="020A0402060406010301" pitchFamily="18" charset="0"/>
              <a:ea typeface="Calibri" panose="020F0502020204030204" pitchFamily="34" charset="0"/>
              <a:cs typeface="Calibri" panose="020F0502020204030204" pitchFamily="34" charset="0"/>
            </a:rPr>
            <a:t>MY</a:t>
          </a:r>
          <a:r>
            <a:rPr lang="en-US" sz="6000" b="1">
              <a:solidFill>
                <a:srgbClr val="F8F8F6"/>
              </a:solidFill>
              <a:latin typeface="Castellar" panose="020A0402060406010301" pitchFamily="18" charset="0"/>
              <a:ea typeface="Calibri" panose="020F0502020204030204" pitchFamily="34" charset="0"/>
              <a:cs typeface="Calibri" panose="020F0502020204030204" pitchFamily="34" charset="0"/>
            </a:rPr>
            <a:t> </a:t>
          </a:r>
          <a:r>
            <a:rPr lang="en-US" sz="6000" b="1">
              <a:solidFill>
                <a:schemeClr val="bg1">
                  <a:lumMod val="50000"/>
                </a:schemeClr>
              </a:solidFill>
              <a:latin typeface="Castellar" panose="020A0402060406010301" pitchFamily="18" charset="0"/>
              <a:ea typeface="Calibri" panose="020F0502020204030204" pitchFamily="34" charset="0"/>
              <a:cs typeface="Calibri" panose="020F0502020204030204" pitchFamily="34" charset="0"/>
            </a:rPr>
            <a:t>WALLET</a:t>
          </a:r>
        </a:p>
      </xdr:txBody>
    </xdr:sp>
    <xdr:clientData/>
  </xdr:oneCellAnchor>
  <mc:AlternateContent xmlns:mc="http://schemas.openxmlformats.org/markup-compatibility/2006">
    <mc:Choice xmlns:a14="http://schemas.microsoft.com/office/drawing/2010/main" Requires="a14">
      <xdr:twoCellAnchor editAs="oneCell">
        <xdr:from>
          <xdr:col>27</xdr:col>
          <xdr:colOff>460890</xdr:colOff>
          <xdr:row>58</xdr:row>
          <xdr:rowOff>59531</xdr:rowOff>
        </xdr:from>
        <xdr:to>
          <xdr:col>33</xdr:col>
          <xdr:colOff>506015</xdr:colOff>
          <xdr:row>65</xdr:row>
          <xdr:rowOff>1</xdr:rowOff>
        </xdr:to>
        <xdr:pic>
          <xdr:nvPicPr>
            <xdr:cNvPr id="14" name="Picture 13">
              <a:extLst>
                <a:ext uri="{FF2B5EF4-FFF2-40B4-BE49-F238E27FC236}">
                  <a16:creationId xmlns:a16="http://schemas.microsoft.com/office/drawing/2014/main" id="{BCE4C005-FF93-4658-85B5-7DCFCD80A2C7}"/>
                </a:ext>
              </a:extLst>
            </xdr:cNvPr>
            <xdr:cNvPicPr>
              <a:picLocks noChangeAspect="1" noChangeArrowheads="1"/>
              <a:extLst>
                <a:ext uri="{84589F7E-364E-4C9E-8A38-B11213B215E9}">
                  <a14:cameraTool cellRange="Analysis!$D$9" spid="_x0000_s7241"/>
                </a:ext>
              </a:extLst>
            </xdr:cNvPicPr>
          </xdr:nvPicPr>
          <xdr:blipFill>
            <a:blip xmlns:r="http://schemas.openxmlformats.org/officeDocument/2006/relationships" r:embed="rId1"/>
            <a:srcRect/>
            <a:stretch>
              <a:fillRect/>
            </a:stretch>
          </xdr:blipFill>
          <xdr:spPr bwMode="auto">
            <a:xfrm>
              <a:off x="16534328" y="10417969"/>
              <a:ext cx="3617000" cy="119062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418344</xdr:colOff>
          <xdr:row>58</xdr:row>
          <xdr:rowOff>119062</xdr:rowOff>
        </xdr:from>
        <xdr:to>
          <xdr:col>41</xdr:col>
          <xdr:colOff>267890</xdr:colOff>
          <xdr:row>64</xdr:row>
          <xdr:rowOff>148828</xdr:rowOff>
        </xdr:to>
        <xdr:pic>
          <xdr:nvPicPr>
            <xdr:cNvPr id="16" name="Picture 15">
              <a:extLst>
                <a:ext uri="{FF2B5EF4-FFF2-40B4-BE49-F238E27FC236}">
                  <a16:creationId xmlns:a16="http://schemas.microsoft.com/office/drawing/2014/main" id="{D035DBD0-08E2-46A6-836F-9DDF6FB09F1F}"/>
                </a:ext>
              </a:extLst>
            </xdr:cNvPr>
            <xdr:cNvPicPr>
              <a:picLocks noChangeAspect="1" noChangeArrowheads="1"/>
              <a:extLst>
                <a:ext uri="{84589F7E-364E-4C9E-8A38-B11213B215E9}">
                  <a14:cameraTool cellRange="Analysis!$E$9" spid="_x0000_s7242"/>
                </a:ext>
              </a:extLst>
            </xdr:cNvPicPr>
          </xdr:nvPicPr>
          <xdr:blipFill>
            <a:blip xmlns:r="http://schemas.openxmlformats.org/officeDocument/2006/relationships" r:embed="rId2"/>
            <a:srcRect/>
            <a:stretch>
              <a:fillRect/>
            </a:stretch>
          </xdr:blipFill>
          <xdr:spPr bwMode="auto">
            <a:xfrm>
              <a:off x="20658969" y="10477500"/>
              <a:ext cx="4016734" cy="110132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69</xdr:col>
      <xdr:colOff>0</xdr:colOff>
      <xdr:row>32</xdr:row>
      <xdr:rowOff>102052</xdr:rowOff>
    </xdr:from>
    <xdr:to>
      <xdr:col>78</xdr:col>
      <xdr:colOff>544286</xdr:colOff>
      <xdr:row>39</xdr:row>
      <xdr:rowOff>70555</xdr:rowOff>
    </xdr:to>
    <mc:AlternateContent xmlns:mc="http://schemas.openxmlformats.org/markup-compatibility/2006">
      <mc:Choice xmlns:a14="http://schemas.microsoft.com/office/drawing/2010/main" Requires="a14">
        <xdr:graphicFrame macro="">
          <xdr:nvGraphicFramePr>
            <xdr:cNvPr id="17" name="Year 1">
              <a:extLst>
                <a:ext uri="{FF2B5EF4-FFF2-40B4-BE49-F238E27FC236}">
                  <a16:creationId xmlns:a16="http://schemas.microsoft.com/office/drawing/2014/main" id="{69D5FFC1-BD54-4FD3-922B-25095DB7205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2972404" y="5963590"/>
              <a:ext cx="6149382" cy="1250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69</xdr:col>
      <xdr:colOff>58187</xdr:colOff>
      <xdr:row>41</xdr:row>
      <xdr:rowOff>73269</xdr:rowOff>
    </xdr:from>
    <xdr:to>
      <xdr:col>78</xdr:col>
      <xdr:colOff>349067</xdr:colOff>
      <xdr:row>71</xdr:row>
      <xdr:rowOff>109904</xdr:rowOff>
    </xdr:to>
    <mc:AlternateContent xmlns:mc="http://schemas.openxmlformats.org/markup-compatibility/2006">
      <mc:Choice xmlns:a14="http://schemas.microsoft.com/office/drawing/2010/main" Requires="a14">
        <xdr:graphicFrame macro="">
          <xdr:nvGraphicFramePr>
            <xdr:cNvPr id="18" name="Month Name 1">
              <a:extLst>
                <a:ext uri="{FF2B5EF4-FFF2-40B4-BE49-F238E27FC236}">
                  <a16:creationId xmlns:a16="http://schemas.microsoft.com/office/drawing/2014/main" id="{C116A626-D767-4C23-97C9-A255199B6F16}"/>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43030591" y="7583365"/>
              <a:ext cx="5895976" cy="5531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44</xdr:col>
      <xdr:colOff>204107</xdr:colOff>
      <xdr:row>40</xdr:row>
      <xdr:rowOff>136071</xdr:rowOff>
    </xdr:from>
    <xdr:to>
      <xdr:col>68</xdr:col>
      <xdr:colOff>140075</xdr:colOff>
      <xdr:row>66</xdr:row>
      <xdr:rowOff>56030</xdr:rowOff>
    </xdr:to>
    <xdr:graphicFrame macro="">
      <xdr:nvGraphicFramePr>
        <xdr:cNvPr id="20" name="Chart 19">
          <a:extLst>
            <a:ext uri="{FF2B5EF4-FFF2-40B4-BE49-F238E27FC236}">
              <a16:creationId xmlns:a16="http://schemas.microsoft.com/office/drawing/2014/main" id="{B51FDBCD-C5AC-4467-8868-26BC01124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50</xdr:col>
      <xdr:colOff>357189</xdr:colOff>
      <xdr:row>71</xdr:row>
      <xdr:rowOff>0</xdr:rowOff>
    </xdr:from>
    <xdr:to>
      <xdr:col>66</xdr:col>
      <xdr:colOff>416719</xdr:colOff>
      <xdr:row>92</xdr:row>
      <xdr:rowOff>29767</xdr:rowOff>
    </xdr:to>
    <xdr:graphicFrame macro="">
      <xdr:nvGraphicFramePr>
        <xdr:cNvPr id="21" name="Chart 20">
          <a:extLst>
            <a:ext uri="{FF2B5EF4-FFF2-40B4-BE49-F238E27FC236}">
              <a16:creationId xmlns:a16="http://schemas.microsoft.com/office/drawing/2014/main" id="{B5B312CA-27A7-45A0-9DFA-21977B67F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89298</xdr:colOff>
      <xdr:row>71</xdr:row>
      <xdr:rowOff>148828</xdr:rowOff>
    </xdr:from>
    <xdr:to>
      <xdr:col>46</xdr:col>
      <xdr:colOff>510268</xdr:colOff>
      <xdr:row>91</xdr:row>
      <xdr:rowOff>170088</xdr:rowOff>
    </xdr:to>
    <xdr:graphicFrame macro="">
      <xdr:nvGraphicFramePr>
        <xdr:cNvPr id="22" name="Chart 21">
          <a:extLst>
            <a:ext uri="{FF2B5EF4-FFF2-40B4-BE49-F238E27FC236}">
              <a16:creationId xmlns:a16="http://schemas.microsoft.com/office/drawing/2014/main" id="{7BAE4D82-9C08-4B11-96F4-7BEECDD44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565546</xdr:colOff>
      <xdr:row>95</xdr:row>
      <xdr:rowOff>89297</xdr:rowOff>
    </xdr:from>
    <xdr:to>
      <xdr:col>45</xdr:col>
      <xdr:colOff>68035</xdr:colOff>
      <xdr:row>113</xdr:row>
      <xdr:rowOff>102054</xdr:rowOff>
    </xdr:to>
    <xdr:graphicFrame macro="">
      <xdr:nvGraphicFramePr>
        <xdr:cNvPr id="23" name="Chart 22">
          <a:extLst>
            <a:ext uri="{FF2B5EF4-FFF2-40B4-BE49-F238E27FC236}">
              <a16:creationId xmlns:a16="http://schemas.microsoft.com/office/drawing/2014/main" id="{2B97F1E9-3E13-471F-9C0D-3F13F9517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272142</xdr:colOff>
      <xdr:row>95</xdr:row>
      <xdr:rowOff>89296</xdr:rowOff>
    </xdr:from>
    <xdr:to>
      <xdr:col>67</xdr:col>
      <xdr:colOff>476250</xdr:colOff>
      <xdr:row>113</xdr:row>
      <xdr:rowOff>-1</xdr:rowOff>
    </xdr:to>
    <xdr:graphicFrame macro="">
      <xdr:nvGraphicFramePr>
        <xdr:cNvPr id="24" name="Chart 23">
          <a:extLst>
            <a:ext uri="{FF2B5EF4-FFF2-40B4-BE49-F238E27FC236}">
              <a16:creationId xmlns:a16="http://schemas.microsoft.com/office/drawing/2014/main" id="{1171B777-7986-4A06-93D5-16CDEC2B0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68</xdr:col>
          <xdr:colOff>68036</xdr:colOff>
          <xdr:row>77</xdr:row>
          <xdr:rowOff>148829</xdr:rowOff>
        </xdr:from>
        <xdr:to>
          <xdr:col>78</xdr:col>
          <xdr:colOff>569078</xdr:colOff>
          <xdr:row>113</xdr:row>
          <xdr:rowOff>29766</xdr:rowOff>
        </xdr:to>
        <xdr:pic>
          <xdr:nvPicPr>
            <xdr:cNvPr id="19" name="Picture 18">
              <a:extLst>
                <a:ext uri="{FF2B5EF4-FFF2-40B4-BE49-F238E27FC236}">
                  <a16:creationId xmlns:a16="http://schemas.microsoft.com/office/drawing/2014/main" id="{D2594625-5362-4F00-B97A-FCEABCEC2D01}"/>
                </a:ext>
              </a:extLst>
            </xdr:cNvPr>
            <xdr:cNvPicPr>
              <a:picLocks noChangeAspect="1" noChangeArrowheads="1"/>
              <a:extLst>
                <a:ext uri="{84589F7E-364E-4C9E-8A38-B11213B215E9}">
                  <a14:cameraTool cellRange="Analysis!$AG$8:$AI$20" spid="_x0000_s7243"/>
                </a:ext>
              </a:extLst>
            </xdr:cNvPicPr>
          </xdr:nvPicPr>
          <xdr:blipFill>
            <a:blip xmlns:r="http://schemas.openxmlformats.org/officeDocument/2006/relationships" r:embed="rId8"/>
            <a:srcRect/>
            <a:stretch>
              <a:fillRect/>
            </a:stretch>
          </xdr:blipFill>
          <xdr:spPr bwMode="auto">
            <a:xfrm>
              <a:off x="41705893" y="15865079"/>
              <a:ext cx="6624256" cy="7228794"/>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30</xdr:col>
      <xdr:colOff>442232</xdr:colOff>
      <xdr:row>91</xdr:row>
      <xdr:rowOff>59532</xdr:rowOff>
    </xdr:from>
    <xdr:ext cx="6259285" cy="722879"/>
    <xdr:sp macro="" textlink="">
      <xdr:nvSpPr>
        <xdr:cNvPr id="5" name="TextBox 4">
          <a:extLst>
            <a:ext uri="{FF2B5EF4-FFF2-40B4-BE49-F238E27FC236}">
              <a16:creationId xmlns:a16="http://schemas.microsoft.com/office/drawing/2014/main" id="{74D869BA-BB15-464D-B63D-C6EAB83A5C4F}"/>
            </a:ext>
          </a:extLst>
        </xdr:cNvPr>
        <xdr:cNvSpPr txBox="1"/>
      </xdr:nvSpPr>
      <xdr:spPr>
        <a:xfrm>
          <a:off x="18811875" y="18633282"/>
          <a:ext cx="6259285" cy="722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a:solidFill>
                <a:schemeClr val="bg1"/>
              </a:solidFill>
              <a:latin typeface="Arial Black" panose="020B0A04020102020204" pitchFamily="34" charset="0"/>
            </a:rPr>
            <a:t>SPENDING BY ACCOUNT</a:t>
          </a:r>
        </a:p>
      </xdr:txBody>
    </xdr:sp>
    <xdr:clientData/>
  </xdr:oneCellAnchor>
  <xdr:oneCellAnchor>
    <xdr:from>
      <xdr:col>31</xdr:col>
      <xdr:colOff>148828</xdr:colOff>
      <xdr:row>69</xdr:row>
      <xdr:rowOff>119062</xdr:rowOff>
    </xdr:from>
    <xdr:ext cx="7054453" cy="773906"/>
    <xdr:sp macro="" textlink="">
      <xdr:nvSpPr>
        <xdr:cNvPr id="25" name="TextBox 24">
          <a:extLst>
            <a:ext uri="{FF2B5EF4-FFF2-40B4-BE49-F238E27FC236}">
              <a16:creationId xmlns:a16="http://schemas.microsoft.com/office/drawing/2014/main" id="{00FF992A-D9AB-4A77-AC80-075E3B508D4F}"/>
            </a:ext>
          </a:extLst>
        </xdr:cNvPr>
        <xdr:cNvSpPr txBox="1"/>
      </xdr:nvSpPr>
      <xdr:spPr>
        <a:xfrm>
          <a:off x="18603516" y="12442031"/>
          <a:ext cx="7054453" cy="773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a:solidFill>
                <a:schemeClr val="bg1"/>
              </a:solidFill>
              <a:latin typeface="Arial Black" panose="020B0A04020102020204" pitchFamily="34" charset="0"/>
            </a:rPr>
            <a:t>TOP</a:t>
          </a:r>
          <a:r>
            <a:rPr lang="en-US" sz="2800" baseline="0">
              <a:solidFill>
                <a:schemeClr val="bg1"/>
              </a:solidFill>
              <a:latin typeface="Arial Black" panose="020B0A04020102020204" pitchFamily="34" charset="0"/>
            </a:rPr>
            <a:t> 5 EXPENSES BY CATEGORY</a:t>
          </a:r>
          <a:endParaRPr lang="en-US" sz="2800">
            <a:solidFill>
              <a:schemeClr val="bg1"/>
            </a:solidFill>
            <a:latin typeface="Arial Black" panose="020B0A04020102020204" pitchFamily="34" charset="0"/>
          </a:endParaRPr>
        </a:p>
      </xdr:txBody>
    </xdr:sp>
    <xdr:clientData/>
  </xdr:oneCellAnchor>
  <xdr:oneCellAnchor>
    <xdr:from>
      <xdr:col>49</xdr:col>
      <xdr:colOff>506014</xdr:colOff>
      <xdr:row>93</xdr:row>
      <xdr:rowOff>59531</xdr:rowOff>
    </xdr:from>
    <xdr:ext cx="9167813" cy="714375"/>
    <xdr:sp macro="" textlink="">
      <xdr:nvSpPr>
        <xdr:cNvPr id="26" name="TextBox 25">
          <a:extLst>
            <a:ext uri="{FF2B5EF4-FFF2-40B4-BE49-F238E27FC236}">
              <a16:creationId xmlns:a16="http://schemas.microsoft.com/office/drawing/2014/main" id="{37ED5BC6-C5E1-43FF-966A-A4421D1AA055}"/>
            </a:ext>
          </a:extLst>
        </xdr:cNvPr>
        <xdr:cNvSpPr txBox="1"/>
      </xdr:nvSpPr>
      <xdr:spPr>
        <a:xfrm>
          <a:off x="29676327" y="16668750"/>
          <a:ext cx="9167813" cy="714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a:solidFill>
                <a:schemeClr val="bg1"/>
              </a:solidFill>
              <a:latin typeface="Arial Black" panose="020B0A04020102020204" pitchFamily="34" charset="0"/>
            </a:rPr>
            <a:t>TOP</a:t>
          </a:r>
          <a:r>
            <a:rPr lang="en-US" sz="2800" baseline="0">
              <a:solidFill>
                <a:schemeClr val="bg1"/>
              </a:solidFill>
              <a:latin typeface="Arial Black" panose="020B0A04020102020204" pitchFamily="34" charset="0"/>
            </a:rPr>
            <a:t> 5 EXPENSES BY DESCRIPTION</a:t>
          </a:r>
          <a:endParaRPr lang="en-US" sz="2800">
            <a:solidFill>
              <a:schemeClr val="bg1"/>
            </a:solidFill>
            <a:latin typeface="Arial Black" panose="020B0A04020102020204" pitchFamily="34" charset="0"/>
          </a:endParaRPr>
        </a:p>
      </xdr:txBody>
    </xdr:sp>
    <xdr:clientData/>
  </xdr:oneCellAnchor>
  <xdr:oneCellAnchor>
    <xdr:from>
      <xdr:col>48</xdr:col>
      <xdr:colOff>535781</xdr:colOff>
      <xdr:row>39</xdr:row>
      <xdr:rowOff>148827</xdr:rowOff>
    </xdr:from>
    <xdr:ext cx="8453438" cy="625079"/>
    <xdr:sp macro="" textlink="">
      <xdr:nvSpPr>
        <xdr:cNvPr id="27" name="TextBox 26">
          <a:extLst>
            <a:ext uri="{FF2B5EF4-FFF2-40B4-BE49-F238E27FC236}">
              <a16:creationId xmlns:a16="http://schemas.microsoft.com/office/drawing/2014/main" id="{9AB6926C-2E46-4EFE-958A-249090E85A91}"/>
            </a:ext>
          </a:extLst>
        </xdr:cNvPr>
        <xdr:cNvSpPr txBox="1"/>
      </xdr:nvSpPr>
      <xdr:spPr>
        <a:xfrm>
          <a:off x="29110781" y="7113983"/>
          <a:ext cx="8453438" cy="625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a:solidFill>
                <a:schemeClr val="bg1"/>
              </a:solidFill>
              <a:latin typeface="Arial Black" panose="020B0A04020102020204" pitchFamily="34" charset="0"/>
            </a:rPr>
            <a:t>INCOME VS EXPENSES BY MONTH</a:t>
          </a:r>
        </a:p>
      </xdr:txBody>
    </xdr:sp>
    <xdr:clientData/>
  </xdr:oneCellAnchor>
  <xdr:oneCellAnchor>
    <xdr:from>
      <xdr:col>52</xdr:col>
      <xdr:colOff>535780</xdr:colOff>
      <xdr:row>69</xdr:row>
      <xdr:rowOff>0</xdr:rowOff>
    </xdr:from>
    <xdr:ext cx="6012658" cy="684609"/>
    <xdr:sp macro="" textlink="">
      <xdr:nvSpPr>
        <xdr:cNvPr id="28" name="TextBox 27">
          <a:extLst>
            <a:ext uri="{FF2B5EF4-FFF2-40B4-BE49-F238E27FC236}">
              <a16:creationId xmlns:a16="http://schemas.microsoft.com/office/drawing/2014/main" id="{A8562BDD-90BA-4DC9-B686-FFFBDF5DF92D}"/>
            </a:ext>
          </a:extLst>
        </xdr:cNvPr>
        <xdr:cNvSpPr txBox="1"/>
      </xdr:nvSpPr>
      <xdr:spPr>
        <a:xfrm>
          <a:off x="31492030" y="12322969"/>
          <a:ext cx="6012658" cy="684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a:solidFill>
                <a:schemeClr val="bg1"/>
              </a:solidFill>
              <a:latin typeface="Arial Black" panose="020B0A04020102020204" pitchFamily="34" charset="0"/>
            </a:rPr>
            <a:t>MONTHLY NET SAVINGS</a:t>
          </a:r>
        </a:p>
      </xdr:txBody>
    </xdr:sp>
    <xdr:clientData/>
  </xdr:oneCellAnchor>
  <xdr:oneCellAnchor>
    <xdr:from>
      <xdr:col>67</xdr:col>
      <xdr:colOff>119061</xdr:colOff>
      <xdr:row>74</xdr:row>
      <xdr:rowOff>148828</xdr:rowOff>
    </xdr:from>
    <xdr:ext cx="5893595" cy="506014"/>
    <xdr:sp macro="" textlink="">
      <xdr:nvSpPr>
        <xdr:cNvPr id="29" name="TextBox 28">
          <a:extLst>
            <a:ext uri="{FF2B5EF4-FFF2-40B4-BE49-F238E27FC236}">
              <a16:creationId xmlns:a16="http://schemas.microsoft.com/office/drawing/2014/main" id="{8F4AF8EF-4728-40DD-A768-9ED7C558BAF9}"/>
            </a:ext>
          </a:extLst>
        </xdr:cNvPr>
        <xdr:cNvSpPr txBox="1"/>
      </xdr:nvSpPr>
      <xdr:spPr>
        <a:xfrm>
          <a:off x="40004999" y="13364766"/>
          <a:ext cx="5893595" cy="506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a:solidFill>
                <a:schemeClr val="bg1"/>
              </a:solidFill>
              <a:latin typeface="Arial Black" panose="020B0A04020102020204" pitchFamily="34" charset="0"/>
            </a:rPr>
            <a:t>MONTHLY</a:t>
          </a:r>
          <a:r>
            <a:rPr lang="en-US" sz="2800" baseline="0">
              <a:solidFill>
                <a:schemeClr val="bg1"/>
              </a:solidFill>
              <a:latin typeface="Arial Black" panose="020B0A04020102020204" pitchFamily="34" charset="0"/>
            </a:rPr>
            <a:t> SAVINGS RATE</a:t>
          </a:r>
          <a:endParaRPr lang="en-US" sz="2800">
            <a:solidFill>
              <a:schemeClr val="bg1"/>
            </a:solidFill>
            <a:latin typeface="Arial Black" panose="020B0A04020102020204" pitchFamily="34" charset="0"/>
          </a:endParaRPr>
        </a:p>
      </xdr:txBody>
    </xdr:sp>
    <xdr:clientData/>
  </xdr:oneCellAnchor>
  <xdr:twoCellAnchor editAs="oneCell">
    <xdr:from>
      <xdr:col>28</xdr:col>
      <xdr:colOff>386952</xdr:colOff>
      <xdr:row>52</xdr:row>
      <xdr:rowOff>29765</xdr:rowOff>
    </xdr:from>
    <xdr:to>
      <xdr:col>31</xdr:col>
      <xdr:colOff>119061</xdr:colOff>
      <xdr:row>59</xdr:row>
      <xdr:rowOff>44649</xdr:rowOff>
    </xdr:to>
    <xdr:pic>
      <xdr:nvPicPr>
        <xdr:cNvPr id="32" name="Picture 31" descr="Wallet Balance Vector Icon Filled Flat">
          <a:extLst>
            <a:ext uri="{FF2B5EF4-FFF2-40B4-BE49-F238E27FC236}">
              <a16:creationId xmlns:a16="http://schemas.microsoft.com/office/drawing/2014/main" id="{A3B14919-1BD4-4867-8177-459B8C746CCC}"/>
            </a:ext>
          </a:extLst>
        </xdr:cNvPr>
        <xdr:cNvPicPr>
          <a:picLocks noChangeAspect="1" noChangeArrowheads="1"/>
        </xdr:cNvPicPr>
      </xdr:nvPicPr>
      <xdr:blipFill>
        <a:blip xmlns:r="http://schemas.openxmlformats.org/officeDocument/2006/relationships" r:embed="rId9">
          <a:extLst>
            <a:ext uri="{BEBA8EAE-BF5A-486C-A8C5-ECC9F3942E4B}">
              <a14:imgProps xmlns:a14="http://schemas.microsoft.com/office/drawing/2010/main">
                <a14:imgLayer r:embed="rId10">
                  <a14:imgEffect>
                    <a14:sharpenSoften amount="50000"/>
                  </a14:imgEffect>
                  <a14:imgEffect>
                    <a14:saturation sat="200000"/>
                  </a14:imgEffect>
                </a14:imgLayer>
              </a14:imgProps>
            </a:ext>
            <a:ext uri="{28A0092B-C50C-407E-A947-70E740481C1C}">
              <a14:useLocalDpi xmlns:a14="http://schemas.microsoft.com/office/drawing/2010/main" val="0"/>
            </a:ext>
          </a:extLst>
        </a:blip>
        <a:srcRect/>
        <a:stretch>
          <a:fillRect/>
        </a:stretch>
      </xdr:blipFill>
      <xdr:spPr bwMode="auto">
        <a:xfrm>
          <a:off x="17055702" y="9316640"/>
          <a:ext cx="1518047" cy="1265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176389</xdr:colOff>
      <xdr:row>52</xdr:row>
      <xdr:rowOff>59531</xdr:rowOff>
    </xdr:from>
    <xdr:ext cx="7307540" cy="1210470"/>
    <xdr:sp macro="" textlink="Balance">
      <xdr:nvSpPr>
        <xdr:cNvPr id="12" name="TextBox 11">
          <a:extLst>
            <a:ext uri="{FF2B5EF4-FFF2-40B4-BE49-F238E27FC236}">
              <a16:creationId xmlns:a16="http://schemas.microsoft.com/office/drawing/2014/main" id="{27D3F227-2E98-428A-8F70-58982A8C5A28}"/>
            </a:ext>
          </a:extLst>
        </xdr:cNvPr>
        <xdr:cNvSpPr txBox="1"/>
      </xdr:nvSpPr>
      <xdr:spPr>
        <a:xfrm>
          <a:off x="16968611" y="9231753"/>
          <a:ext cx="7307540" cy="12104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0F8D832-B91B-4B99-885C-B9EBD007F877}" type="TxLink">
            <a:rPr lang="en-US" sz="4400" b="0" i="0" u="none" strike="noStrike">
              <a:solidFill>
                <a:srgbClr val="000000"/>
              </a:solidFill>
              <a:latin typeface="Goudy Stout" panose="0202090407030B020401" pitchFamily="18" charset="0"/>
              <a:ea typeface="Calibri"/>
              <a:cs typeface="Calibri"/>
            </a:rPr>
            <a:pPr algn="ctr"/>
            <a:t>$30,707.58</a:t>
          </a:fld>
          <a:endParaRPr lang="en-US" sz="4400">
            <a:latin typeface="Goudy Stout" panose="0202090407030B020401" pitchFamily="18" charset="0"/>
          </a:endParaRPr>
        </a:p>
      </xdr:txBody>
    </xdr:sp>
    <xdr:clientData/>
  </xdr:oneCellAnchor>
  <xdr:oneCellAnchor>
    <xdr:from>
      <xdr:col>29</xdr:col>
      <xdr:colOff>178594</xdr:colOff>
      <xdr:row>63</xdr:row>
      <xdr:rowOff>148828</xdr:rowOff>
    </xdr:from>
    <xdr:ext cx="2024062" cy="506015"/>
    <xdr:sp macro="" textlink="">
      <xdr:nvSpPr>
        <xdr:cNvPr id="33" name="TextBox 32">
          <a:extLst>
            <a:ext uri="{FF2B5EF4-FFF2-40B4-BE49-F238E27FC236}">
              <a16:creationId xmlns:a16="http://schemas.microsoft.com/office/drawing/2014/main" id="{629544BE-1F4E-4291-9337-7DDA45CCDCB8}"/>
            </a:ext>
          </a:extLst>
        </xdr:cNvPr>
        <xdr:cNvSpPr txBox="1"/>
      </xdr:nvSpPr>
      <xdr:spPr>
        <a:xfrm>
          <a:off x="17442657" y="11400234"/>
          <a:ext cx="2024062" cy="5060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ysClr val="windowText" lastClr="000000"/>
              </a:solidFill>
              <a:latin typeface="Arial Black" panose="020B0A04020102020204" pitchFamily="34" charset="0"/>
            </a:rPr>
            <a:t>Total Income</a:t>
          </a:r>
        </a:p>
      </xdr:txBody>
    </xdr:sp>
    <xdr:clientData/>
  </xdr:oneCellAnchor>
  <xdr:oneCellAnchor>
    <xdr:from>
      <xdr:col>37</xdr:col>
      <xdr:colOff>119062</xdr:colOff>
      <xdr:row>63</xdr:row>
      <xdr:rowOff>119063</xdr:rowOff>
    </xdr:from>
    <xdr:ext cx="2500313" cy="476250"/>
    <xdr:sp macro="" textlink="">
      <xdr:nvSpPr>
        <xdr:cNvPr id="34" name="TextBox 33">
          <a:extLst>
            <a:ext uri="{FF2B5EF4-FFF2-40B4-BE49-F238E27FC236}">
              <a16:creationId xmlns:a16="http://schemas.microsoft.com/office/drawing/2014/main" id="{294E65FD-C109-45DB-AD32-B21983365C78}"/>
            </a:ext>
          </a:extLst>
        </xdr:cNvPr>
        <xdr:cNvSpPr txBox="1"/>
      </xdr:nvSpPr>
      <xdr:spPr>
        <a:xfrm>
          <a:off x="22145625" y="11370469"/>
          <a:ext cx="2500313"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ysClr val="windowText" lastClr="000000"/>
              </a:solidFill>
              <a:latin typeface="Arial Black" panose="020B0A04020102020204" pitchFamily="34" charset="0"/>
            </a:rPr>
            <a:t>Total Expenditures</a:t>
          </a:r>
        </a:p>
      </xdr:txBody>
    </xdr:sp>
    <xdr:clientData/>
  </xdr:oneCellAnchor>
  <xdr:twoCellAnchor>
    <xdr:from>
      <xdr:col>23</xdr:col>
      <xdr:colOff>423334</xdr:colOff>
      <xdr:row>31</xdr:row>
      <xdr:rowOff>105835</xdr:rowOff>
    </xdr:from>
    <xdr:to>
      <xdr:col>27</xdr:col>
      <xdr:colOff>211667</xdr:colOff>
      <xdr:row>67</xdr:row>
      <xdr:rowOff>1</xdr:rowOff>
    </xdr:to>
    <xdr:sp macro="" textlink="">
      <xdr:nvSpPr>
        <xdr:cNvPr id="7" name="Rectangle: Rounded Corners 6">
          <a:extLst>
            <a:ext uri="{FF2B5EF4-FFF2-40B4-BE49-F238E27FC236}">
              <a16:creationId xmlns:a16="http://schemas.microsoft.com/office/drawing/2014/main" id="{EC78276F-DD28-4BEF-8F5F-C06C32F7784F}"/>
            </a:ext>
          </a:extLst>
        </xdr:cNvPr>
        <xdr:cNvSpPr/>
      </xdr:nvSpPr>
      <xdr:spPr>
        <a:xfrm>
          <a:off x="14216945" y="5573891"/>
          <a:ext cx="2187222" cy="6244166"/>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28</xdr:col>
      <xdr:colOff>246946</xdr:colOff>
      <xdr:row>40</xdr:row>
      <xdr:rowOff>70555</xdr:rowOff>
    </xdr:from>
    <xdr:ext cx="6067776" cy="599722"/>
    <xdr:sp macro="" textlink="">
      <xdr:nvSpPr>
        <xdr:cNvPr id="9" name="TextBox 8">
          <a:extLst>
            <a:ext uri="{FF2B5EF4-FFF2-40B4-BE49-F238E27FC236}">
              <a16:creationId xmlns:a16="http://schemas.microsoft.com/office/drawing/2014/main" id="{34CB1FC8-BCB2-4132-99E7-77B2A4FBAC0B}"/>
            </a:ext>
          </a:extLst>
        </xdr:cNvPr>
        <xdr:cNvSpPr txBox="1"/>
      </xdr:nvSpPr>
      <xdr:spPr>
        <a:xfrm>
          <a:off x="17039168" y="7126111"/>
          <a:ext cx="6067776" cy="599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600" b="1">
              <a:solidFill>
                <a:schemeClr val="bg1"/>
              </a:solidFill>
            </a:rPr>
            <a:t>WELCOME BACK, FERIC!!!</a:t>
          </a:r>
        </a:p>
      </xdr:txBody>
    </xdr:sp>
    <xdr:clientData/>
  </xdr:oneCellAnchor>
  <xdr:twoCellAnchor editAs="oneCell">
    <xdr:from>
      <xdr:col>27</xdr:col>
      <xdr:colOff>458611</xdr:colOff>
      <xdr:row>31</xdr:row>
      <xdr:rowOff>35277</xdr:rowOff>
    </xdr:from>
    <xdr:to>
      <xdr:col>31</xdr:col>
      <xdr:colOff>202579</xdr:colOff>
      <xdr:row>39</xdr:row>
      <xdr:rowOff>132024</xdr:rowOff>
    </xdr:to>
    <xdr:pic>
      <xdr:nvPicPr>
        <xdr:cNvPr id="10" name="Picture 9">
          <a:extLst>
            <a:ext uri="{FF2B5EF4-FFF2-40B4-BE49-F238E27FC236}">
              <a16:creationId xmlns:a16="http://schemas.microsoft.com/office/drawing/2014/main" id="{15ACB12B-4355-4114-AEDA-1C26921015B1}"/>
            </a:ext>
          </a:extLst>
        </xdr:cNvPr>
        <xdr:cNvPicPr>
          <a:picLocks noChangeAspect="1"/>
        </xdr:cNvPicPr>
      </xdr:nvPicPr>
      <xdr:blipFill>
        <a:blip xmlns:r="http://schemas.openxmlformats.org/officeDocument/2006/relationships" r:embed="rId11">
          <a:clrChange>
            <a:clrFrom>
              <a:srgbClr val="FFFFFF"/>
            </a:clrFrom>
            <a:clrTo>
              <a:srgbClr val="FFFFFF">
                <a:alpha val="0"/>
              </a:srgbClr>
            </a:clrTo>
          </a:clrChange>
          <a:alphaModFix/>
          <a:duotone>
            <a:schemeClr val="accent6">
              <a:shade val="45000"/>
              <a:satMod val="135000"/>
            </a:schemeClr>
            <a:prstClr val="white"/>
          </a:duotone>
          <a:extLst>
            <a:ext uri="{BEBA8EAE-BF5A-486C-A8C5-ECC9F3942E4B}">
              <a14:imgProps xmlns:a14="http://schemas.microsoft.com/office/drawing/2010/main">
                <a14:imgLayer r:embed="rId12">
                  <a14:imgEffect>
                    <a14:colorTemperature colorTemp="11200"/>
                  </a14:imgEffect>
                  <a14:imgEffect>
                    <a14:brightnessContrast bright="40000" contrast="40000"/>
                  </a14:imgEffect>
                </a14:imgLayer>
              </a14:imgProps>
            </a:ext>
          </a:extLst>
        </a:blip>
        <a:stretch>
          <a:fillRect/>
        </a:stretch>
      </xdr:blipFill>
      <xdr:spPr>
        <a:xfrm>
          <a:off x="16651111" y="5503333"/>
          <a:ext cx="2142857" cy="1507858"/>
        </a:xfrm>
        <a:prstGeom prst="rect">
          <a:avLst/>
        </a:prstGeom>
        <a:ln>
          <a:noFill/>
        </a:ln>
      </xdr:spPr>
    </xdr:pic>
    <xdr:clientData/>
  </xdr:twoCellAnchor>
  <xdr:oneCellAnchor>
    <xdr:from>
      <xdr:col>30</xdr:col>
      <xdr:colOff>529166</xdr:colOff>
      <xdr:row>31</xdr:row>
      <xdr:rowOff>0</xdr:rowOff>
    </xdr:from>
    <xdr:ext cx="17638890" cy="1481666"/>
    <xdr:sp macro="" textlink="">
      <xdr:nvSpPr>
        <xdr:cNvPr id="11" name="TextBox 10">
          <a:extLst>
            <a:ext uri="{FF2B5EF4-FFF2-40B4-BE49-F238E27FC236}">
              <a16:creationId xmlns:a16="http://schemas.microsoft.com/office/drawing/2014/main" id="{D7C92A5D-55E2-4E5D-AD1A-3459A067EAA8}"/>
            </a:ext>
          </a:extLst>
        </xdr:cNvPr>
        <xdr:cNvSpPr txBox="1"/>
      </xdr:nvSpPr>
      <xdr:spPr>
        <a:xfrm>
          <a:off x="18520833" y="5468056"/>
          <a:ext cx="17638890" cy="14816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0" b="1">
              <a:solidFill>
                <a:schemeClr val="bg1"/>
              </a:solidFill>
              <a:latin typeface="Algerian" panose="04020705040A02060702" pitchFamily="82" charset="0"/>
            </a:rPr>
            <a:t>PERSONAL FINANCE</a:t>
          </a:r>
          <a:r>
            <a:rPr lang="en-US" sz="8000" b="1" baseline="0">
              <a:solidFill>
                <a:schemeClr val="bg1"/>
              </a:solidFill>
              <a:latin typeface="Algerian" panose="04020705040A02060702" pitchFamily="82" charset="0"/>
            </a:rPr>
            <a:t> DASHBOARD</a:t>
          </a:r>
          <a:endParaRPr lang="en-US" sz="8000" b="1">
            <a:solidFill>
              <a:schemeClr val="bg1"/>
            </a:solidFill>
            <a:latin typeface="Algerian" panose="04020705040A02060702" pitchFamily="82" charset="0"/>
          </a:endParaRPr>
        </a:p>
      </xdr:txBody>
    </xdr:sp>
    <xdr:clientData/>
  </xdr:oneCellAnchor>
  <xdr:twoCellAnchor editAs="oneCell">
    <xdr:from>
      <xdr:col>24</xdr:col>
      <xdr:colOff>0</xdr:colOff>
      <xdr:row>32</xdr:row>
      <xdr:rowOff>70556</xdr:rowOff>
    </xdr:from>
    <xdr:to>
      <xdr:col>27</xdr:col>
      <xdr:colOff>181654</xdr:colOff>
      <xdr:row>45</xdr:row>
      <xdr:rowOff>105834</xdr:rowOff>
    </xdr:to>
    <xdr:pic>
      <xdr:nvPicPr>
        <xdr:cNvPr id="37" name="Picture 36" descr="Home Page White Icon SVG Vector &amp; PNG Free Download | UXWing">
          <a:hlinkClick xmlns:r="http://schemas.openxmlformats.org/officeDocument/2006/relationships" r:id="rId13"/>
          <a:extLst>
            <a:ext uri="{FF2B5EF4-FFF2-40B4-BE49-F238E27FC236}">
              <a16:creationId xmlns:a16="http://schemas.microsoft.com/office/drawing/2014/main" id="{719D26BE-195C-4016-890B-4CA67E05A754}"/>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93333" y="5715000"/>
          <a:ext cx="1980821" cy="2328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48</xdr:row>
      <xdr:rowOff>105833</xdr:rowOff>
    </xdr:from>
    <xdr:to>
      <xdr:col>27</xdr:col>
      <xdr:colOff>70556</xdr:colOff>
      <xdr:row>64</xdr:row>
      <xdr:rowOff>141111</xdr:rowOff>
    </xdr:to>
    <xdr:pic>
      <xdr:nvPicPr>
        <xdr:cNvPr id="43" name="Picture 42" descr="Analysis Icon Design 498326 Vector Art at Vecteezy">
          <a:hlinkClick xmlns:r="http://schemas.openxmlformats.org/officeDocument/2006/relationships" r:id="rId15"/>
          <a:extLst>
            <a:ext uri="{FF2B5EF4-FFF2-40B4-BE49-F238E27FC236}">
              <a16:creationId xmlns:a16="http://schemas.microsoft.com/office/drawing/2014/main" id="{83DB0D2D-598F-4F0E-B12F-FF89B0502A5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393333" y="8572500"/>
          <a:ext cx="1869723"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32340162039" backgroundQuery="1" createdVersion="7" refreshedVersion="7" minRefreshableVersion="3" recordCount="0" supportSubquery="1" supportAdvancedDrill="1" xr:uid="{14F66A07-4763-4557-86F5-CB57848E3950}">
  <cacheSource type="external" connectionId="3"/>
  <cacheFields count="2">
    <cacheField name="[Measures].[Sum of Budget]" caption="Sum of Budget" numFmtId="0" hierarchy="13" level="32767"/>
    <cacheField name="[Budget].[Category].[Category]" caption="Category" numFmtId="0" level="1">
      <sharedItems count="19">
        <s v="Alcohol &amp; Bars"/>
        <s v="Auto Insurance"/>
        <s v="Coffee Shops"/>
        <s v="Electronics &amp; Software"/>
        <s v="Entertainment"/>
        <s v="Fast Food"/>
        <s v="Gas &amp; Fuel"/>
        <s v="Groceries"/>
        <s v="Haircut"/>
        <s v="Home Improvement"/>
        <s v="Internet"/>
        <s v="Mobile Phone"/>
        <s v="Mortgage &amp; Rent"/>
        <s v="Movies &amp; DVDs"/>
        <s v="Music"/>
        <s v="Restaurants"/>
        <s v="Shopping"/>
        <s v="Television"/>
        <s v="Utilities"/>
      </sharedItems>
    </cacheField>
  </cacheFields>
  <cacheHierarchies count="24">
    <cacheHierarchy uniqueName="[Budget].[Category]" caption="Category" attribute="1" defaultMemberUniqueName="[Budget].[Category].[All]" allUniqueName="[Budget].[Category].[All]" dimensionUniqueName="[Budget]" displayFolder="" count="2" memberValueDatatype="130" unbalanced="0">
      <fieldsUsage count="2">
        <fieldUsage x="-1"/>
        <fieldUsage x="1"/>
      </fieldsUsage>
    </cacheHierarchy>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Name]" caption="Month Name" attribute="1" defaultMemberUniqueName="[Transactions].[Month Name].[All]" allUniqueName="[Transactions].[Month Name].[All]" dimensionUniqueName="[Transactions]" displayFolder="" count="0"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oneField="1">
      <fieldsUsage count="1">
        <fieldUsage x="0"/>
      </fieldsUsage>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56811689812" backgroundQuery="1" createdVersion="7" refreshedVersion="7" minRefreshableVersion="3" recordCount="0" supportSubquery="1" supportAdvancedDrill="1" xr:uid="{E5919A66-2531-46A1-85B5-8BE5435E6668}">
  <cacheSource type="external" connectionId="3"/>
  <cacheFields count="1">
    <cacheField name="[Measures].[Sum of Budget]" caption="Sum of Budget" numFmtId="0" hierarchy="13" level="32767"/>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2"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2" memberValueDatatype="130" unbalanced="0"/>
    <cacheHierarchy uniqueName="[Transactions].[Year]" caption="Year" attribute="1" defaultMemberUniqueName="[Transactions].[Year].[All]" allUniqueName="[Transactions].[Year].[All]" dimensionUniqueName="[Transactions]" displayFolder="" count="2" memberValueDatatype="20" unbalanced="0"/>
    <cacheHierarchy uniqueName="[Transactions].[Month Name]" caption="Month Name" attribute="1" defaultMemberUniqueName="[Transactions].[Month Name].[All]" allUniqueName="[Transactions].[Month Name].[All]" dimensionUniqueName="[Transactions]" displayFolder="" count="0"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oneField="1">
      <fieldsUsage count="1">
        <fieldUsage x="0"/>
      </fieldsUsage>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8674513889" backgroundQuery="1" createdVersion="7" refreshedVersion="7" minRefreshableVersion="3" recordCount="0" supportSubquery="1" supportAdvancedDrill="1" xr:uid="{B2E54044-74D3-45AB-B7D7-A1777FFE9FBE}">
  <cacheSource type="external" connectionId="3"/>
  <cacheFields count="0"/>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2"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Name]" caption="Month Name" attribute="1" defaultMemberUniqueName="[Transactions].[Month Name].[All]" allUniqueName="[Transactions].[Month Name].[All]" dimensionUniqueName="[Transactions]" displayFolder="" count="0" memberValueDatatype="130" unbalanced="0"/>
    <cacheHierarchy uniqueName="[Transactions].[Month Number]" caption="Month Number" attribute="1" defaultMemberUniqueName="[Transactions].[Month Number].[All]" allUniqueName="[Transactions].[Month Number].[All]" dimensionUniqueName="[Transactions]" displayFolder="" count="2"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389699077" backgroundQuery="1" createdVersion="7" refreshedVersion="7" minRefreshableVersion="3" recordCount="0" supportSubquery="1" supportAdvancedDrill="1" xr:uid="{9D81F517-127D-4751-8F7C-9DA6FCCC993D}">
  <cacheSource type="external" connectionId="3"/>
  <cacheFields count="4">
    <cacheField name="[Measures].[Total Expenses]" caption="Total Expenses" numFmtId="0" hierarchy="16" level="32767"/>
    <cacheField name="[Transactions].[Month Name].[Month Name]" caption="Month Name" numFmtId="0" hierarchy="10" level="1">
      <sharedItems count="12">
        <s v="Jan"/>
        <s v="Feb"/>
        <s v="Mar"/>
        <s v="Apr"/>
        <s v="May"/>
        <s v="Jun"/>
        <s v="Jul"/>
        <s v="Aug"/>
        <s v="Sep"/>
        <s v="Oct"/>
        <s v="Nov"/>
        <s v="Dec"/>
      </sharedItems>
    </cacheField>
    <cacheField name="[Transactions].[Date].[Date]" caption="Date" numFmtId="0" hierarchy="2" level="1">
      <sharedItems containsSemiMixedTypes="0" containsNonDate="0" containsString="0"/>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2"/>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3"/>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1"/>
      </fieldsUsage>
    </cacheHierarchy>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oneField="1">
      <fieldsUsage count="1">
        <fieldUsage x="0"/>
      </fieldsUsage>
    </cacheHierarchy>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392013887" backgroundQuery="1" createdVersion="7" refreshedVersion="7" minRefreshableVersion="3" recordCount="0" supportSubquery="1" supportAdvancedDrill="1" xr:uid="{CCB4FDC6-D555-4A5A-93CB-9114E2BC11AF}">
  <cacheSource type="external" connectionId="3"/>
  <cacheFields count="4">
    <cacheField name="[Transactions].[Transaction Type].[Transaction Type]" caption="Transaction Type" numFmtId="0" hierarchy="5" level="1">
      <sharedItems count="2">
        <s v="credit"/>
        <s v="debit"/>
      </sharedItems>
    </cacheField>
    <cacheField name="[Measures].[Sum of Amount]" caption="Sum of Amount" numFmtId="0" hierarchy="12" level="32767"/>
    <cacheField name="[Transactions].[Date].[Date]" caption="Date" numFmtId="0" hierarchy="2" level="1">
      <sharedItems containsSemiMixedTypes="0" containsNonDate="0" containsString="0"/>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2"/>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2" memberValueDatatype="130" unbalanced="0">
      <fieldsUsage count="2">
        <fieldUsage x="-1"/>
        <fieldUsage x="0"/>
      </fieldsUsage>
    </cacheHierarchy>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3"/>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oneField="1">
      <fieldsUsage count="1">
        <fieldUsage x="1"/>
      </fieldsUsage>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396527775" backgroundQuery="1" createdVersion="7" refreshedVersion="7" minRefreshableVersion="3" recordCount="0" supportSubquery="1" supportAdvancedDrill="1" xr:uid="{9A555B07-0146-448F-ACBD-E4ECB8B1B6FA}">
  <cacheSource type="external" connectionId="3"/>
  <cacheFields count="4">
    <cacheField name="[Transactions].[Account Name].[Account Name]" caption="Account Name" numFmtId="0" hierarchy="7" level="1">
      <sharedItems count="3">
        <s v="Checking"/>
        <s v="Platinum Card"/>
        <s v="Silver Card"/>
      </sharedItems>
    </cacheField>
    <cacheField name="[Transactions].[Date].[Date]" caption="Date" numFmtId="0" hierarchy="2" level="1">
      <sharedItems containsSemiMixedTypes="0" containsNonDate="0" containsString="0"/>
    </cacheField>
    <cacheField name="[Measures].[Total Expenses]" caption="Total Expenses" numFmtId="0" hierarchy="16" level="32767"/>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1"/>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2" memberValueDatatype="130" unbalanced="0">
      <fieldsUsage count="2">
        <fieldUsage x="-1"/>
        <fieldUsage x="0"/>
      </fieldsUsage>
    </cacheHierarchy>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3"/>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oneField="1">
      <fieldsUsage count="1">
        <fieldUsage x="2"/>
      </fieldsUsage>
    </cacheHierarchy>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398611114" backgroundQuery="1" createdVersion="7" refreshedVersion="7" minRefreshableVersion="3" recordCount="0" supportSubquery="1" supportAdvancedDrill="1" xr:uid="{DF8389D0-719B-4EBF-9D56-17C8ABF6505D}">
  <cacheSource type="external" connectionId="3"/>
  <cacheFields count="7">
    <cacheField name="[Transactions].[Month Name].[Month Name]" caption="Month Name" numFmtId="0" hierarchy="10" level="1">
      <sharedItems count="12">
        <s v="Jan"/>
        <s v="Feb"/>
        <s v="Mar"/>
        <s v="Apr"/>
        <s v="May"/>
        <s v="Jun"/>
        <s v="Jul"/>
        <s v="Aug"/>
        <s v="Sep"/>
        <s v="Oct"/>
        <s v="Nov"/>
        <s v="Dec"/>
      </sharedItems>
    </cacheField>
    <cacheField name="[Measures].[Total Income]" caption="Total Income" numFmtId="0" hierarchy="15" level="32767"/>
    <cacheField name="[Measures].[Total Expenses]" caption="Total Expenses" numFmtId="0" hierarchy="16" level="32767"/>
    <cacheField name="[Measures].[Net Savings]" caption="Net Savings" numFmtId="0" hierarchy="17" level="32767"/>
    <cacheField name="[Measures].[Savings Rate]" caption="Savings Rate" numFmtId="0" hierarchy="18" level="32767"/>
    <cacheField name="[Transactions].[Date].[Date]" caption="Date" numFmtId="0" hierarchy="2" level="1">
      <sharedItems containsSemiMixedTypes="0" containsNonDate="0" containsString="0"/>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5"/>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6"/>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0"/>
      </fieldsUsage>
    </cacheHierarchy>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oneField="1">
      <fieldsUsage count="1">
        <fieldUsage x="1"/>
      </fieldsUsage>
    </cacheHierarchy>
    <cacheHierarchy uniqueName="[Measures].[Total Expenses]" caption="Total Expenses" measure="1" displayFolder="" measureGroup="Transactions" count="0" oneField="1">
      <fieldsUsage count="1">
        <fieldUsage x="2"/>
      </fieldsUsage>
    </cacheHierarchy>
    <cacheHierarchy uniqueName="[Measures].[Net Savings]" caption="Net Savings" measure="1" displayFolder="" measureGroup="Transactions" count="0" oneField="1">
      <fieldsUsage count="1">
        <fieldUsage x="3"/>
      </fieldsUsage>
    </cacheHierarchy>
    <cacheHierarchy uniqueName="[Measures].[Savings Rate]" caption="Savings Rate" measure="1" displayFolder="" measureGroup="Transactions" count="0" oneField="1">
      <fieldsUsage count="1">
        <fieldUsage x="4"/>
      </fieldsUsage>
    </cacheHierarchy>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00925924" backgroundQuery="1" createdVersion="7" refreshedVersion="7" minRefreshableVersion="3" recordCount="0" supportSubquery="1" supportAdvancedDrill="1" xr:uid="{99CE9611-3A3D-4C08-A158-0AA54D41C7A4}">
  <cacheSource type="external" connectionId="3"/>
  <cacheFields count="5">
    <cacheField name="[Transactions].[Year].[Year]" caption="Year" numFmtId="0" hierarchy="9" level="1">
      <sharedItems containsSemiMixedTypes="0" containsString="0" containsNumber="1" containsInteger="1" minValue="2018" maxValue="2019" count="2">
        <n v="2018"/>
        <n v="2019"/>
      </sharedItems>
      <extLst>
        <ext xmlns:x15="http://schemas.microsoft.com/office/spreadsheetml/2010/11/main" uri="{4F2E5C28-24EA-4eb8-9CBF-B6C8F9C3D259}">
          <x15:cachedUniqueNames>
            <x15:cachedUniqueName index="0" name="[Transactions].[Year].&amp;[2018]"/>
            <x15:cachedUniqueName index="1" name="[Transactions].[Year].&amp;[2019]"/>
          </x15:cachedUniqueNames>
        </ext>
      </extLst>
    </cacheField>
    <cacheField name="[Measures].[Total Income]" caption="Total Income" numFmtId="0" hierarchy="15" level="32767"/>
    <cacheField name="[Measures].[Total Expenses]" caption="Total Expenses" numFmtId="0" hierarchy="16" level="32767"/>
    <cacheField name="[Measures].[Savings Rate]" caption="Savings Rate" numFmtId="0" hierarchy="18" level="32767"/>
    <cacheField name="[Transactions].[Date].[Date]" caption="Date" numFmtId="0" hierarchy="2"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4"/>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0"/>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oneField="1">
      <fieldsUsage count="1">
        <fieldUsage x="1"/>
      </fieldsUsage>
    </cacheHierarchy>
    <cacheHierarchy uniqueName="[Measures].[Total Expenses]" caption="Total Expenses" measure="1" displayFolder="" measureGroup="Transactions" count="0" oneField="1">
      <fieldsUsage count="1">
        <fieldUsage x="2"/>
      </fieldsUsage>
    </cacheHierarchy>
    <cacheHierarchy uniqueName="[Measures].[Net Savings]" caption="Net Savings" measure="1" displayFolder="" measureGroup="Transactions" count="0"/>
    <cacheHierarchy uniqueName="[Measures].[Savings Rate]" caption="Savings Rate" measure="1" displayFolder="" measureGroup="Transactions" count="0" oneField="1">
      <fieldsUsage count="1">
        <fieldUsage x="3"/>
      </fieldsUsage>
    </cacheHierarchy>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03587964" backgroundQuery="1" createdVersion="7" refreshedVersion="7" minRefreshableVersion="3" recordCount="0" supportSubquery="1" supportAdvancedDrill="1" xr:uid="{6C238F1F-3F62-424A-B577-860571CD7BCC}">
  <cacheSource type="external" connectionId="3"/>
  <cacheFields count="5">
    <cacheField name="[Transactions].[Month Name].[Month Name]" caption="Month Name" numFmtId="0" hierarchy="10" level="1">
      <sharedItems count="12">
        <s v="Apr"/>
        <s v="Aug"/>
        <s v="Dec"/>
        <s v="Feb"/>
        <s v="Jan"/>
        <s v="Jul"/>
        <s v="Jun"/>
        <s v="Mar"/>
        <s v="May"/>
        <s v="Nov"/>
        <s v="Oct"/>
        <s v="Sep"/>
      </sharedItems>
    </cacheField>
    <cacheField name="[Transactions].[Description].[Description]" caption="Description" numFmtId="0" hierarchy="3" level="1">
      <sharedItems count="5">
        <s v="Amazon"/>
        <s v="Grocery Store"/>
        <s v="Hardware Store"/>
        <s v="Mike's Construction Co."/>
        <s v="Mortgage Payment"/>
      </sharedItems>
    </cacheField>
    <cacheField name="[Measures].[Total Expenses]" caption="Total Expenses" numFmtId="0" hierarchy="16" level="32767"/>
    <cacheField name="[Transactions].[Date].[Date]" caption="Date" numFmtId="0" hierarchy="2" level="1">
      <sharedItems containsSemiMixedTypes="0" containsNonDate="0" containsString="0"/>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3"/>
      </fieldsUsage>
    </cacheHierarchy>
    <cacheHierarchy uniqueName="[Transactions].[Description]" caption="Description" attribute="1" defaultMemberUniqueName="[Transactions].[Description].[All]" allUniqueName="[Transactions].[Description].[All]" dimensionUniqueName="[Transactions]" displayFolder="" count="2" memberValueDatatype="130" unbalanced="0">
      <fieldsUsage count="2">
        <fieldUsage x="-1"/>
        <fieldUsage x="1"/>
      </fieldsUsage>
    </cacheHierarchy>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4"/>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0"/>
      </fieldsUsage>
    </cacheHierarchy>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oneField="1">
      <fieldsUsage count="1">
        <fieldUsage x="2"/>
      </fieldsUsage>
    </cacheHierarchy>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05439811" backgroundQuery="1" createdVersion="7" refreshedVersion="7" minRefreshableVersion="3" recordCount="0" supportSubquery="1" supportAdvancedDrill="1" xr:uid="{2183CC21-95DA-4144-A967-488E941DFE4F}">
  <cacheSource type="external" connectionId="3"/>
  <cacheFields count="4">
    <cacheField name="[Transactions].[Flow Type].[Flow Type]" caption="Flow Type" numFmtId="0" hierarchy="8" level="1">
      <sharedItems count="3">
        <s v="Expense"/>
        <s v="Income"/>
        <s v="Transfer"/>
      </sharedItems>
    </cacheField>
    <cacheField name="[Measures].[Sum of Amount]" caption="Sum of Amount" numFmtId="0" hierarchy="12" level="32767"/>
    <cacheField name="[Transactions].[Date].[Date]" caption="Date" numFmtId="0" hierarchy="2" level="1">
      <sharedItems containsSemiMixedTypes="0" containsNonDate="0" containsString="0"/>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2"/>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2" memberValueDatatype="130" unbalanced="0">
      <fieldsUsage count="2">
        <fieldUsage x="-1"/>
        <fieldUsage x="0"/>
      </fieldsUsage>
    </cacheHierarchy>
    <cacheHierarchy uniqueName="[Transactions].[Year]" caption="Year" attribute="1" defaultMemberUniqueName="[Transactions].[Year].[All]" allUniqueName="[Transactions].[Year].[All]" dimensionUniqueName="[Transactions]" displayFolder="" count="2" memberValueDatatype="20" unbalanced="0">
      <fieldsUsage count="2">
        <fieldUsage x="-1"/>
        <fieldUsage x="3"/>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oneField="1">
      <fieldsUsage count="1">
        <fieldUsage x="1"/>
      </fieldsUsage>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0925926" backgroundQuery="1" createdVersion="7" refreshedVersion="7" minRefreshableVersion="3" recordCount="0" supportSubquery="1" supportAdvancedDrill="1" xr:uid="{AB04C250-7936-4B0B-94E4-78206B58D16C}">
  <cacheSource type="external" connectionId="3"/>
  <cacheFields count="8">
    <cacheField name="[Measures].[Total Income]" caption="Total Income" numFmtId="0" hierarchy="15" level="32767"/>
    <cacheField name="[Measures].[Total Expenses]" caption="Total Expenses" numFmtId="0" hierarchy="16" level="32767"/>
    <cacheField name="[Measures].[Net Savings]" caption="Net Savings" numFmtId="0" hierarchy="17" level="32767"/>
    <cacheField name="[Measures].[Savings Rate]" caption="Savings Rate" numFmtId="0" hierarchy="18" level="32767"/>
    <cacheField name="[Measures].[Available Balance]" caption="Available Balance" numFmtId="0" hierarchy="19" level="32767"/>
    <cacheField name="[Measures].[Budget Variance]" caption="Budget Variance" numFmtId="0" hierarchy="20" level="32767"/>
    <cacheField name="[Transactions].[Date].[Date]" caption="Date" numFmtId="0" hierarchy="2" level="1">
      <sharedItems containsSemiMixedTypes="0" containsNonDate="0" containsString="0"/>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6"/>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7"/>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oneField="1">
      <fieldsUsage count="1">
        <fieldUsage x="0"/>
      </fieldsUsage>
    </cacheHierarchy>
    <cacheHierarchy uniqueName="[Measures].[Total Expenses]" caption="Total Expenses" measure="1" displayFolder="" measureGroup="Transactions" count="0" oneField="1">
      <fieldsUsage count="1">
        <fieldUsage x="1"/>
      </fieldsUsage>
    </cacheHierarchy>
    <cacheHierarchy uniqueName="[Measures].[Net Savings]" caption="Net Savings" measure="1" displayFolder="" measureGroup="Transactions" count="0" oneField="1">
      <fieldsUsage count="1">
        <fieldUsage x="2"/>
      </fieldsUsage>
    </cacheHierarchy>
    <cacheHierarchy uniqueName="[Measures].[Savings Rate]" caption="Savings Rate" measure="1" displayFolder="" measureGroup="Transactions" count="0" oneField="1">
      <fieldsUsage count="1">
        <fieldUsage x="3"/>
      </fieldsUsage>
    </cacheHierarchy>
    <cacheHierarchy uniqueName="[Measures].[Available Balance]" caption="Available Balance" measure="1" displayFolder="" measureGroup="Transactions" count="0" oneField="1">
      <fieldsUsage count="1">
        <fieldUsage x="4"/>
      </fieldsUsage>
    </cacheHierarchy>
    <cacheHierarchy uniqueName="[Measures].[Budget Variance]" caption="Budget Variance" measure="1" displayFolder="" measureGroup="Transactions" count="0" oneField="1">
      <fieldsUsage count="1">
        <fieldUsage x="5"/>
      </fieldsUsage>
    </cacheHierarchy>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12731485" backgroundQuery="1" createdVersion="7" refreshedVersion="7" minRefreshableVersion="3" recordCount="0" supportSubquery="1" supportAdvancedDrill="1" xr:uid="{A4C698AB-88AA-4308-9A48-51DEEBCC9F8D}">
  <cacheSource type="external" connectionId="3"/>
  <cacheFields count="4">
    <cacheField name="[Transactions].[Date].[Date]" caption="Date" numFmtId="0" hierarchy="2" level="1">
      <sharedItems containsSemiMixedTypes="0" containsNonDate="0" containsString="0"/>
    </cacheField>
    <cacheField name="[Measures].[Total Expenses]" caption="Total Expenses" numFmtId="0" hierarchy="16" level="32767"/>
    <cacheField name="[Transactions].[Category].[Category]" caption="Category" numFmtId="0" hierarchy="6" level="1">
      <sharedItems count="5">
        <s v="Groceries"/>
        <s v="Home Improvement"/>
        <s v="Mortgage &amp; Rent"/>
        <s v="Restaurants"/>
        <s v="Utilities"/>
      </sharedItems>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0"/>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2" memberValueDatatype="130" unbalanced="0">
      <fieldsUsage count="2">
        <fieldUsage x="-1"/>
        <fieldUsage x="2"/>
      </fieldsUsage>
    </cacheHierarchy>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3"/>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oneField="1">
      <fieldsUsage count="1">
        <fieldUsage x="1"/>
      </fieldsUsage>
    </cacheHierarchy>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16087964" backgroundQuery="1" createdVersion="7" refreshedVersion="7" minRefreshableVersion="3" recordCount="0" supportSubquery="1" supportAdvancedDrill="1" xr:uid="{75DAD415-F073-4EC5-AFFB-203AE9E0569F}">
  <cacheSource type="external" connectionId="3"/>
  <cacheFields count="5">
    <cacheField name="[Transactions].[Date].[Date]" caption="Date" numFmtId="0" hierarchy="2" level="1">
      <sharedItems containsSemiMixedTypes="0" containsNonDate="0" containsString="0"/>
    </cacheField>
    <cacheField name="[Transactions].[Month Name].[Month Name]" caption="Month Name" numFmtId="0" hierarchy="10" level="1">
      <sharedItems count="12">
        <s v="Jan"/>
        <s v="Feb"/>
        <s v="Mar"/>
        <s v="Apr"/>
        <s v="May"/>
        <s v="Jun"/>
        <s v="Jul"/>
        <s v="Aug"/>
        <s v="Sep"/>
        <s v="Oct"/>
        <s v="Nov"/>
        <s v="Dec"/>
      </sharedItems>
    </cacheField>
    <cacheField name="[Measures].[Total Income]" caption="Total Income" numFmtId="0" hierarchy="15" level="32767"/>
    <cacheField name="[Measures].[Total Expenses]" caption="Total Expenses" numFmtId="0" hierarchy="16" level="32767"/>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0"/>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4"/>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1"/>
      </fieldsUsage>
    </cacheHierarchy>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oneField="1">
      <fieldsUsage count="1">
        <fieldUsage x="2"/>
      </fieldsUsage>
    </cacheHierarchy>
    <cacheHierarchy uniqueName="[Measures].[Total Expenses]" caption="Total Expenses" measure="1" displayFolder="" measureGroup="Transactions" count="0" oneField="1">
      <fieldsUsage count="1">
        <fieldUsage x="3"/>
      </fieldsUsage>
    </cacheHierarchy>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1851852" backgroundQuery="1" createdVersion="7" refreshedVersion="7" minRefreshableVersion="3" recordCount="0" supportSubquery="1" supportAdvancedDrill="1" xr:uid="{EB1D1E7A-E679-46DE-9803-43592E7A5D96}">
  <cacheSource type="external" connectionId="3"/>
  <cacheFields count="3">
    <cacheField name="[Measures].[Net Savings]" caption="Net Savings" numFmtId="0" hierarchy="17" level="32767"/>
    <cacheField name="[Transactions].[Month Name].[Month Name]" caption="Month Name" numFmtId="0" hierarchy="10" level="1">
      <sharedItems count="12">
        <s v="Jan"/>
        <s v="Feb"/>
        <s v="Mar"/>
        <s v="Apr"/>
        <s v="May"/>
        <s v="Jun"/>
        <s v="Jul"/>
        <s v="Aug"/>
        <s v="Sep"/>
        <s v="Oct"/>
        <s v="Nov"/>
        <s v="Dec"/>
      </sharedItems>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2"/>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1"/>
      </fieldsUsage>
    </cacheHierarchy>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oneField="1">
      <fieldsUsage count="1">
        <fieldUsage x="0"/>
      </fieldsUsage>
    </cacheHierarchy>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20833337" backgroundQuery="1" createdVersion="7" refreshedVersion="7" minRefreshableVersion="3" recordCount="0" supportSubquery="1" supportAdvancedDrill="1" xr:uid="{C84B6DA4-3A9B-43A2-98B3-5B42939F572E}">
  <cacheSource type="external" connectionId="3"/>
  <cacheFields count="3">
    <cacheField name="[Transactions].[Month Name].[Month Name]" caption="Month Name" numFmtId="0" hierarchy="10" level="1">
      <sharedItems count="12">
        <s v="Jan"/>
        <s v="Feb"/>
        <s v="Mar"/>
        <s v="Apr"/>
        <s v="May"/>
        <s v="Jun"/>
        <s v="Jul"/>
        <s v="Aug"/>
        <s v="Sep"/>
        <s v="Oct"/>
        <s v="Nov"/>
        <s v="Dec"/>
      </sharedItems>
    </cacheField>
    <cacheField name="[Measures].[Savings Rate]" caption="Savings Rate" numFmtId="0" hierarchy="18" level="32767"/>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2"/>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0"/>
      </fieldsUsage>
    </cacheHierarchy>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cacheHierarchy uniqueName="[Measures].[Savings Rate]" caption="Savings Rate" measure="1" displayFolder="" measureGroup="Transactions" count="0" oneField="1">
      <fieldsUsage count="1">
        <fieldUsage x="1"/>
      </fieldsUsage>
    </cacheHierarchy>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599936458333" backgroundQuery="1" createdVersion="3" refreshedVersion="7" minRefreshableVersion="3" recordCount="0" supportSubquery="1" supportAdvancedDrill="1" xr:uid="{17D050C5-AD0B-484C-A575-780FBC286C16}">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789211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648EC2-9CDB-4377-ABD5-2421F46C7449}" name="PivotTable3" cacheId="715" applyNumberFormats="0" applyBorderFormats="0" applyFontFormats="0" applyPatternFormats="0" applyAlignmentFormats="0" applyWidthHeightFormats="1" dataCaption="Values" tag="8aaf481b-7456-49c3-a758-93f236551ca1" updatedVersion="7" minRefreshableVersion="3" useAutoFormatting="1" itemPrintTitles="1" createdVersion="7" indent="0" outline="1" outlineData="1" multipleFieldFilters="0">
  <location ref="AE22:AF42" firstHeaderRow="1" firstDataRow="1" firstDataCol="1"/>
  <pivotFields count="2">
    <pivotField dataField="1" subtotalTop="0" showAll="0" defaultSubtotal="0"/>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Budget" fld="0"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38E44C-228A-433F-9162-FB7508653CD4}" name="PivotTable2" cacheId="1048" applyNumberFormats="0" applyBorderFormats="0" applyFontFormats="0" applyPatternFormats="0" applyAlignmentFormats="0" applyWidthHeightFormats="1" dataCaption="Values" tag="39401897-8891-4eb2-8bed-220194256c6c" updatedVersion="7" minRefreshableVersion="3" useAutoFormatting="1" subtotalHiddenItems="1" rowGrandTotals="0" colGrandTotals="0" itemPrintTitles="1" createdVersion="7" indent="0" compact="0" compactData="0" multipleFieldFilters="0" rowHeaderCaption="Months">
  <location ref="AG8:AH20" firstHeaderRow="1" firstDataRow="1" firstDataCol="1"/>
  <pivotFields count="3">
    <pivotField axis="axisRow" compact="0" allDrilled="1" outline="0" showAll="0" insertPageBreak="1" defaultSubtotal="0">
      <items count="12">
        <item x="0" e="0"/>
        <item x="1" e="0"/>
        <item x="2" e="0"/>
        <item x="3" e="0"/>
        <item x="4" e="0"/>
        <item x="5" e="0"/>
        <item x="6" e="0"/>
        <item x="7" e="0"/>
        <item x="8" e="0"/>
        <item x="9" e="0"/>
        <item x="10" e="0"/>
        <item x="11" e="0"/>
      </items>
    </pivotField>
    <pivotField dataField="1" compact="0" outline="0" showAll="0" defaultSubtotal="0"/>
    <pivotField compact="0" allDrilled="1" outline="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41">
    <format dxfId="176">
      <pivotArea dataOnly="0" labelOnly="1" outline="0" axis="axisValues" fieldPosition="0"/>
    </format>
    <format dxfId="177">
      <pivotArea collapsedLevelsAreSubtotals="1" fieldPosition="0">
        <references count="1">
          <reference field="0" count="1">
            <x v="0"/>
          </reference>
        </references>
      </pivotArea>
    </format>
    <format dxfId="178">
      <pivotArea collapsedLevelsAreSubtotals="1" fieldPosition="0">
        <references count="1">
          <reference field="0" count="1">
            <x v="1"/>
          </reference>
        </references>
      </pivotArea>
    </format>
    <format dxfId="179">
      <pivotArea collapsedLevelsAreSubtotals="1" fieldPosition="0">
        <references count="1">
          <reference field="0" count="1">
            <x v="4"/>
          </reference>
        </references>
      </pivotArea>
    </format>
    <format dxfId="180">
      <pivotArea collapsedLevelsAreSubtotals="1" fieldPosition="0">
        <references count="1">
          <reference field="0" count="1">
            <x v="2"/>
          </reference>
        </references>
      </pivotArea>
    </format>
    <format dxfId="181">
      <pivotArea collapsedLevelsAreSubtotals="1" fieldPosition="0">
        <references count="1">
          <reference field="0" count="1">
            <x v="3"/>
          </reference>
        </references>
      </pivotArea>
    </format>
    <format dxfId="182">
      <pivotArea collapsedLevelsAreSubtotals="1" fieldPosition="0">
        <references count="1">
          <reference field="0" count="1">
            <x v="5"/>
          </reference>
        </references>
      </pivotArea>
    </format>
    <format dxfId="183">
      <pivotArea collapsedLevelsAreSubtotals="1" fieldPosition="0">
        <references count="1">
          <reference field="0" count="1">
            <x v="6"/>
          </reference>
        </references>
      </pivotArea>
    </format>
    <format dxfId="184">
      <pivotArea collapsedLevelsAreSubtotals="1" fieldPosition="0">
        <references count="1">
          <reference field="0" count="1">
            <x v="11"/>
          </reference>
        </references>
      </pivotArea>
    </format>
    <format dxfId="185">
      <pivotArea collapsedLevelsAreSubtotals="1" fieldPosition="0">
        <references count="1">
          <reference field="0" count="1">
            <x v="10"/>
          </reference>
        </references>
      </pivotArea>
    </format>
    <format dxfId="186">
      <pivotArea collapsedLevelsAreSubtotals="1" fieldPosition="0">
        <references count="1">
          <reference field="0" count="1">
            <x v="7"/>
          </reference>
        </references>
      </pivotArea>
    </format>
    <format dxfId="187">
      <pivotArea collapsedLevelsAreSubtotals="1" fieldPosition="0">
        <references count="1">
          <reference field="0" count="1">
            <x v="8"/>
          </reference>
        </references>
      </pivotArea>
    </format>
    <format dxfId="188">
      <pivotArea collapsedLevelsAreSubtotals="1" fieldPosition="0">
        <references count="1">
          <reference field="0" count="1">
            <x v="9"/>
          </reference>
        </references>
      </pivotArea>
    </format>
    <format dxfId="189">
      <pivotArea grandRow="1" outline="0" collapsedLevelsAreSubtotals="1" fieldPosition="0"/>
    </format>
    <format dxfId="190">
      <pivotArea field="0" type="button" dataOnly="0" labelOnly="1" outline="0" axis="axisRow" fieldPosition="0"/>
    </format>
    <format dxfId="191">
      <pivotArea dataOnly="0" labelOnly="1" outline="0" fieldPosition="0">
        <references count="1">
          <reference field="0" count="9">
            <x v="0"/>
            <x v="1"/>
            <x v="2"/>
            <x v="3"/>
            <x v="4"/>
            <x v="5"/>
            <x v="6"/>
            <x v="7"/>
            <x v="8"/>
          </reference>
        </references>
      </pivotArea>
    </format>
    <format dxfId="192">
      <pivotArea field="0" type="button" dataOnly="0" labelOnly="1" outline="0" axis="axisRow" fieldPosition="0"/>
    </format>
    <format dxfId="193">
      <pivotArea dataOnly="0" labelOnly="1" outline="0" axis="axisValues" fieldPosition="0"/>
    </format>
    <format dxfId="194">
      <pivotArea outline="0" fieldPosition="0">
        <references count="1">
          <reference field="0" count="1" selected="0">
            <x v="0"/>
          </reference>
        </references>
      </pivotArea>
    </format>
    <format dxfId="195">
      <pivotArea dataOnly="0" labelOnly="1" outline="0" fieldPosition="0">
        <references count="1">
          <reference field="0" count="1">
            <x v="0"/>
          </reference>
        </references>
      </pivotArea>
    </format>
    <format dxfId="196">
      <pivotArea field="0" type="button" dataOnly="0" labelOnly="1" outline="0" axis="axisRow" fieldPosition="0"/>
    </format>
    <format dxfId="197">
      <pivotArea outline="0" fieldPosition="0">
        <references count="1">
          <reference field="0" count="1" selected="0">
            <x v="1"/>
          </reference>
        </references>
      </pivotArea>
    </format>
    <format dxfId="198">
      <pivotArea dataOnly="0" labelOnly="1" outline="0" fieldPosition="0">
        <references count="1">
          <reference field="0" count="1">
            <x v="1"/>
          </reference>
        </references>
      </pivotArea>
    </format>
    <format dxfId="199">
      <pivotArea dataOnly="0" labelOnly="1" outline="0" fieldPosition="0">
        <references count="1">
          <reference field="0" count="1">
            <x v="2"/>
          </reference>
        </references>
      </pivotArea>
    </format>
    <format dxfId="200">
      <pivotArea outline="0" fieldPosition="0">
        <references count="1">
          <reference field="0" count="1" selected="0">
            <x v="3"/>
          </reference>
        </references>
      </pivotArea>
    </format>
    <format dxfId="201">
      <pivotArea dataOnly="0" labelOnly="1" outline="0" fieldPosition="0">
        <references count="1">
          <reference field="0" count="1">
            <x v="3"/>
          </reference>
        </references>
      </pivotArea>
    </format>
    <format dxfId="202">
      <pivotArea outline="0" fieldPosition="0">
        <references count="1">
          <reference field="0" count="1" selected="0">
            <x v="8"/>
          </reference>
        </references>
      </pivotArea>
    </format>
    <format dxfId="203">
      <pivotArea dataOnly="0" labelOnly="1" outline="0" fieldPosition="0">
        <references count="1">
          <reference field="0" count="1">
            <x v="8"/>
          </reference>
        </references>
      </pivotArea>
    </format>
    <format dxfId="204">
      <pivotArea outline="0" fieldPosition="0">
        <references count="1">
          <reference field="0" count="1" selected="0">
            <x v="4"/>
          </reference>
        </references>
      </pivotArea>
    </format>
    <format dxfId="205">
      <pivotArea dataOnly="0" labelOnly="1" outline="0" fieldPosition="0">
        <references count="1">
          <reference field="0" count="1">
            <x v="4"/>
          </reference>
        </references>
      </pivotArea>
    </format>
    <format dxfId="206">
      <pivotArea dataOnly="0" labelOnly="1" outline="0" fieldPosition="0">
        <references count="1">
          <reference field="0" count="1">
            <x v="5"/>
          </reference>
        </references>
      </pivotArea>
    </format>
    <format dxfId="207">
      <pivotArea outline="0" fieldPosition="0">
        <references count="1">
          <reference field="0" count="1" selected="0">
            <x v="6"/>
          </reference>
        </references>
      </pivotArea>
    </format>
    <format dxfId="208">
      <pivotArea dataOnly="0" labelOnly="1" outline="0" fieldPosition="0">
        <references count="1">
          <reference field="0" count="1">
            <x v="6"/>
          </reference>
        </references>
      </pivotArea>
    </format>
    <format dxfId="209">
      <pivotArea dataOnly="0" labelOnly="1" outline="0" fieldPosition="0">
        <references count="1">
          <reference field="0" count="1">
            <x v="7"/>
          </reference>
        </references>
      </pivotArea>
    </format>
    <format dxfId="210">
      <pivotArea field="0" type="button" dataOnly="0" labelOnly="1" outline="0" axis="axisRow" fieldPosition="0"/>
    </format>
    <format dxfId="211">
      <pivotArea dataOnly="0" labelOnly="1" outline="0" axis="axisValues" fieldPosition="0"/>
    </format>
    <format dxfId="175">
      <pivotArea outline="0" fieldPosition="0">
        <references count="1">
          <reference field="0" count="1" selected="0">
            <x v="0"/>
          </reference>
        </references>
      </pivotArea>
    </format>
    <format dxfId="174">
      <pivotArea outline="0" fieldPosition="0">
        <references count="1">
          <reference field="0" count="1" selected="0">
            <x v="1"/>
          </reference>
        </references>
      </pivotArea>
    </format>
    <format dxfId="173">
      <pivotArea outline="0" fieldPosition="0">
        <references count="1">
          <reference field="0" count="1" selected="0">
            <x v="2"/>
          </reference>
        </references>
      </pivotArea>
    </format>
    <format dxfId="172">
      <pivotArea outline="0" fieldPosition="0">
        <references count="1">
          <reference field="0" count="4" selected="0">
            <x v="3"/>
            <x v="4"/>
            <x v="5"/>
            <x v="6"/>
          </reference>
        </references>
      </pivotArea>
    </format>
    <format dxfId="171">
      <pivotArea dataOnly="0" labelOnly="1" outline="0" fieldPosition="0">
        <references count="1">
          <reference field="0" count="0"/>
        </references>
      </pivotArea>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0"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519068-E366-4044-88A8-E392B8CC52D8}" name="PivotTable1" cacheId="940" applyNumberFormats="0" applyBorderFormats="0" applyFontFormats="0" applyPatternFormats="0" applyAlignmentFormats="0" applyWidthHeightFormats="1" dataCaption="Values" tag="42d90e7f-32f4-421b-a83c-d2cd8b74fb5a" updatedVersion="7" minRefreshableVersion="3" useAutoFormatting="1" subtotalHiddenItems="1" itemPrintTitles="1" createdVersion="7" indent="0" outline="1" outlineData="1" multipleFieldFilters="0">
  <location ref="D26:F43" firstHeaderRow="1" firstDataRow="1" firstDataCol="0"/>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749356-D26F-4289-8DA2-8754676F05F7}" name="PivotTable13" cacheId="1027" applyNumberFormats="0" applyBorderFormats="0" applyFontFormats="0" applyPatternFormats="0" applyAlignmentFormats="0" applyWidthHeightFormats="1" dataCaption="Values" tag="8b63c950-14bb-4ffc-9655-f2d092964165" updatedVersion="7" minRefreshableVersion="5" useAutoFormatting="1" subtotalHiddenItems="1" itemPrintTitles="1" createdVersion="7" indent="0" outline="1" outlineData="1" multipleFieldFilters="0">
  <location ref="M7:P10"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1">
    <format dxfId="219">
      <pivotArea collapsedLevelsAreSubtotals="1" fieldPosition="0">
        <references count="2">
          <reference field="4294967294" count="1" selected="0">
            <x v="2"/>
          </reference>
          <reference field="0" count="0"/>
        </references>
      </pivotArea>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424768-6FB0-4C68-9E12-76C507952A97}" name="PivotTable19" cacheId="1042" applyNumberFormats="0" applyBorderFormats="0" applyFontFormats="0" applyPatternFormats="0" applyAlignmentFormats="0" applyWidthHeightFormats="1" dataCaption="Values" tag="122aaf90-7b09-4721-aa48-ad1138488fe6" updatedVersion="7" minRefreshableVersion="5" useAutoFormatting="1" subtotalHiddenItems="1" itemPrintTitles="1" createdVersion="7" indent="0" outline="1" outlineData="1" multipleFieldFilters="0" chartFormat="5">
  <location ref="V24:X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fld="3"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5FCFFD-FA8B-4CA4-B6D8-CEEDF974BECF}" name="PivotTable12" cacheId="1024" applyNumberFormats="0" applyBorderFormats="0" applyFontFormats="0" applyPatternFormats="0" applyAlignmentFormats="0" applyWidthHeightFormats="1" dataCaption="Values" tag="d70627b4-6025-4024-9ced-33855da0d277" updatedVersion="7" minRefreshableVersion="5" useAutoFormatting="1" subtotalHiddenItems="1" itemPrintTitles="1" createdVersion="7" indent="0" outline="1" outlineData="1" multipleFieldFilters="0">
  <location ref="I28:M41" firstHeaderRow="0" firstDataRow="1" firstDataCol="1"/>
  <pivotFields count="7">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5"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09918D-3E74-4FA7-BE08-3B61FC5B4D5B}" name="PivotTable11" cacheId="1021" applyNumberFormats="0" applyBorderFormats="0" applyFontFormats="0" applyPatternFormats="0" applyAlignmentFormats="0" applyWidthHeightFormats="1" dataCaption="Values" tag="af6e3508-d015-4087-8cff-95a6e3b60633" updatedVersion="7" minRefreshableVersion="5" useAutoFormatting="1" subtotalHiddenItems="1" itemPrintTitles="1" createdVersion="7" indent="0" outline="1" outlineData="1" multipleFieldFilters="0" chartFormat="5">
  <location ref="I21:J25" firstHeaderRow="1" firstDataRow="1" firstDataCol="1"/>
  <pivotFields count="4">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2" subtotal="count" baseField="0" baseItem="0"/>
  </dataFields>
  <formats count="4">
    <format dxfId="220">
      <pivotArea collapsedLevelsAreSubtotals="1" fieldPosition="0">
        <references count="1">
          <reference field="0" count="1">
            <x v="0"/>
          </reference>
        </references>
      </pivotArea>
    </format>
    <format dxfId="221">
      <pivotArea collapsedLevelsAreSubtotals="1" fieldPosition="0">
        <references count="1">
          <reference field="0" count="1">
            <x v="1"/>
          </reference>
        </references>
      </pivotArea>
    </format>
    <format dxfId="222">
      <pivotArea collapsedLevelsAreSubtotals="1" fieldPosition="0">
        <references count="1">
          <reference field="0" count="1">
            <x v="2"/>
          </reference>
        </references>
      </pivotArea>
    </format>
    <format dxfId="223">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256DC9-39E5-4DF5-8E39-500703B20C8F}" name="PivotTable16" cacheId="1015" applyNumberFormats="0" applyBorderFormats="0" applyFontFormats="0" applyPatternFormats="0" applyAlignmentFormats="0" applyWidthHeightFormats="1" dataCaption="Values" tag="e6e31d08-7a34-41ec-9f24-cde3c141da4a" updatedVersion="7" minRefreshableVersion="5" useAutoFormatting="1" subtotalHiddenItems="1" itemPrintTitles="1" createdVersion="7" indent="0" outline="1" outlineData="1" multipleFieldFilters="0">
  <location ref="R26:S39"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49EA9C-CF3C-4BC5-93B2-52DD4ED8798C}" name="PivotTable10" cacheId="1018" applyNumberFormats="0" applyBorderFormats="0" applyFontFormats="0" applyPatternFormats="0" applyAlignmentFormats="0" applyWidthHeightFormats="1" dataCaption="Values" tag="709cce0d-1619-4e84-a0f5-c82f88a6dd2d" updatedVersion="7" minRefreshableVersion="5" useAutoFormatting="1" subtotalHiddenItems="1" itemPrintTitles="1" createdVersion="7" indent="0" outline="1" outlineData="1" multipleFieldFilters="0">
  <location ref="I15:J1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Amount" fld="1" baseField="0" baseItem="0"/>
  </dataFields>
  <formats count="4">
    <format dxfId="224">
      <pivotArea dataOnly="0" outline="0" axis="axisValues" fieldPosition="0"/>
    </format>
    <format dxfId="225">
      <pivotArea collapsedLevelsAreSubtotals="1" fieldPosition="0">
        <references count="1">
          <reference field="0" count="1">
            <x v="0"/>
          </reference>
        </references>
      </pivotArea>
    </format>
    <format dxfId="226">
      <pivotArea collapsedLevelsAreSubtotals="1" fieldPosition="0">
        <references count="1">
          <reference field="0" count="1">
            <x v="1"/>
          </reference>
        </references>
      </pivotArea>
    </format>
    <format dxfId="227">
      <pivotArea grandRow="1" outline="0" collapsedLevelsAreSubtotals="1"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A551AC-C7F6-42F1-AF36-51600B64053F}" name="PivotTable15" cacheId="1033" applyNumberFormats="0" applyBorderFormats="0" applyFontFormats="0" applyPatternFormats="0" applyAlignmentFormats="0" applyWidthHeightFormats="1" dataCaption="Values" tag="b929af86-081b-4c0f-a428-3772d69495a4" updatedVersion="7" minRefreshableVersion="5" useAutoFormatting="1" subtotalHiddenItems="1" itemPrintTitles="1" createdVersion="7" indent="0" outline="1" outlineData="1" multipleFieldFilters="0">
  <location ref="J45:K49"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15B07D-56F4-4C8E-87FC-D8C7231C9257}" name="PivotTable9" cacheId="1039" applyNumberFormats="0" applyBorderFormats="0" applyFontFormats="0" applyPatternFormats="0" applyAlignmentFormats="0" applyWidthHeightFormats="1" dataCaption="Values" tag="3371518c-2fe1-4cd9-b46e-a35782d4bf8e" updatedVersion="7" minRefreshableVersion="5" useAutoFormatting="1" subtotalHiddenItems="1" itemPrintTitles="1" createdVersion="7" indent="0" outline="1" outlineData="1" multipleFieldFilters="0" chartFormat="6">
  <location ref="E15:F2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23" iMeasureHier="16">
      <autoFilter ref="A1">
        <filterColumn colId="0">
          <top10 val="5" filterVal="5"/>
        </filterColumn>
      </autoFilter>
    </filter>
    <filter fld="0"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18A8C0-0A38-41BB-AF60-F0B6EF8D2C8F}" name="PivotTable14" cacheId="1030" applyNumberFormats="0" applyBorderFormats="0" applyFontFormats="0" applyPatternFormats="0" applyAlignmentFormats="0" applyWidthHeightFormats="1" dataCaption="Values" tag="67464ad8-b31a-4536-af20-f3bbed5f4caf" updatedVersion="7" minRefreshableVersion="5" useAutoFormatting="1" subtotalHiddenItems="1" itemPrintTitles="1" createdVersion="7" indent="0" outline="1" outlineData="1" multipleFieldFilters="0" chartFormat="4">
  <location ref="O14:P2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2"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caption="Count of Bud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 fld="1" type="count" id="21" iMeasureHier="16">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0B06C2B-F514-481A-A3FC-B0C8E1C1B1B4}" name="PivotTable22" cacheId="757" applyNumberFormats="0" applyBorderFormats="0" applyFontFormats="0" applyPatternFormats="0" applyAlignmentFormats="0" applyWidthHeightFormats="1" dataCaption="Values" tag="92606412-199d-41a0-b37a-a8eb3232b88c" updatedVersion="7" minRefreshableVersion="3" useAutoFormatting="1" subtotalHiddenItems="1" itemPrintTitles="1" createdVersion="7" indent="0" outline="1" outlineData="1" multipleFieldFilters="0">
  <location ref="AE12:AE13" firstHeaderRow="1" firstDataRow="1" firstDataCol="0"/>
  <pivotFields count="1">
    <pivotField dataField="1" subtotalTop="0" showAll="0" defaultSubtotal="0"/>
  </pivotFields>
  <rowItems count="1">
    <i/>
  </rowItems>
  <colItems count="1">
    <i/>
  </colItems>
  <dataFields count="1">
    <dataField name="Sum of Budget" fld="0"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58CB0AF-01C7-4FDC-85BE-727B9C7EDABD}" name="PivotTable21" cacheId="1045" applyNumberFormats="0" applyBorderFormats="0" applyFontFormats="0" applyPatternFormats="0" applyAlignmentFormats="0" applyWidthHeightFormats="1" dataCaption="Values" tag="fec80d59-3d7e-464b-99d1-09c430c0e136" updatedVersion="7" minRefreshableVersion="3" useAutoFormatting="1" subtotalHiddenItems="1" itemPrintTitles="1" createdVersion="7" indent="0" outline="1" outlineData="1" multipleFieldFilters="0" chartFormat="4">
  <location ref="AA10:AB23"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2A0A79-9589-44B9-9B2E-F6F205835912}" name="PivotTable5" cacheId="1036" applyNumberFormats="0" applyBorderFormats="0" applyFontFormats="0" applyPatternFormats="0" applyAlignmentFormats="0" applyWidthHeightFormats="1" dataCaption="Values" tag="c58da2be-103b-4973-85c8-ee5c0851d259" updatedVersion="7" minRefreshableVersion="5" useAutoFormatting="1" subtotalHiddenItems="1" itemPrintTitles="1" createdVersion="7" indent="0" outline="1" outlineData="1" multipleFieldFilters="0">
  <location ref="D8:I9"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numFmtId="169"/>
    <dataField fld="1" subtotal="count" baseField="0" baseItem="0" numFmtId="170"/>
    <dataField fld="2" subtotal="count" baseField="0" baseItem="0" numFmtId="168"/>
    <dataField fld="3" subtotal="count" baseField="0" baseItem="0" numFmtId="172"/>
    <dataField fld="4" subtotal="count" baseField="0" baseItem="0" numFmtId="166"/>
    <dataField fld="5" subtotal="count" baseField="0" baseItem="0" numFmtId="168"/>
  </dataFields>
  <formats count="7">
    <format dxfId="212">
      <pivotArea outline="0" collapsedLevelsAreSubtotals="1" fieldPosition="0">
        <references count="1">
          <reference field="4294967294" count="1" selected="0">
            <x v="5"/>
          </reference>
        </references>
      </pivotArea>
    </format>
    <format dxfId="213">
      <pivotArea outline="0" collapsedLevelsAreSubtotals="1" fieldPosition="0">
        <references count="1">
          <reference field="4294967294" count="1" selected="0">
            <x v="2"/>
          </reference>
        </references>
      </pivotArea>
    </format>
    <format dxfId="214">
      <pivotArea outline="0" collapsedLevelsAreSubtotals="1" fieldPosition="0">
        <references count="1">
          <reference field="4294967294" count="1" selected="0">
            <x v="0"/>
          </reference>
        </references>
      </pivotArea>
    </format>
    <format dxfId="215">
      <pivotArea outline="0" collapsedLevelsAreSubtotals="1" fieldPosition="0">
        <references count="1">
          <reference field="4294967294" count="1" selected="0">
            <x v="1"/>
          </reference>
        </references>
      </pivotArea>
    </format>
    <format dxfId="216">
      <pivotArea outline="0" collapsedLevelsAreSubtotals="1" fieldPosition="0">
        <references count="1">
          <reference field="4294967294" count="1" selected="0">
            <x v="4"/>
          </reference>
        </references>
      </pivotArea>
    </format>
    <format dxfId="217">
      <pivotArea dataOnly="0" outline="0" fieldPosition="0">
        <references count="1">
          <reference field="4294967294" count="6">
            <x v="0"/>
            <x v="1"/>
            <x v="2"/>
            <x v="3"/>
            <x v="4"/>
            <x v="5"/>
          </reference>
        </references>
      </pivotArea>
    </format>
    <format dxfId="218">
      <pivotArea outline="0" collapsedLevelsAreSubtotals="1" fieldPosition="0">
        <references count="1">
          <reference field="4294967294" count="1" selected="0">
            <x v="3"/>
          </reference>
        </references>
      </pivotArea>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filters count="1">
    <filter fld="6"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CB4BACB-1069-437F-8A45-97541DFC01E6}" sourceName="[Transactions].[Year]">
  <pivotTables>
    <pivotTable tabId="1" name="PivotTable16"/>
    <pivotTable tabId="1" name="PivotTable10"/>
    <pivotTable tabId="1" name="PivotTable11"/>
    <pivotTable tabId="1" name="PivotTable12"/>
    <pivotTable tabId="1" name="PivotTable13"/>
    <pivotTable tabId="1" name="PivotTable14"/>
    <pivotTable tabId="1" name="PivotTable15"/>
    <pivotTable tabId="1" name="PivotTable5"/>
    <pivotTable tabId="1" name="PivotTable9"/>
    <pivotTable tabId="1" name="PivotTable19"/>
    <pivotTable tabId="1" name="PivotTable21"/>
    <pivotTable tabId="1" name="PivotTable2"/>
  </pivotTables>
  <data>
    <olap pivotCacheId="578921175">
      <levels count="2">
        <level uniqueName="[Transactions].[Year].[(All)]" sourceCaption="(All)" count="0"/>
        <level uniqueName="[Transactions].[Year].[Year]" sourceCaption="Year" count="2">
          <ranges>
            <range startItem="0">
              <i n="[Transactions].[Year].&amp;[2018]" c="2018"/>
              <i n="[Transactions].[Year].&amp;[2019]" c="2019"/>
            </range>
          </ranges>
        </level>
      </levels>
      <selections count="1">
        <selection n="[Transaction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AC4A2BA-8946-4D43-AFC5-CFDD336ABFF8}" sourceName="[Transactions].[Month Name]">
  <pivotTables>
    <pivotTable tabId="1" name="PivotTable10"/>
    <pivotTable tabId="1" name="PivotTable11"/>
    <pivotTable tabId="1" name="PivotTable12"/>
    <pivotTable tabId="1" name="PivotTable13"/>
    <pivotTable tabId="1" name="PivotTable14"/>
    <pivotTable tabId="1" name="PivotTable15"/>
    <pivotTable tabId="1" name="PivotTable16"/>
    <pivotTable tabId="1" name="PivotTable5"/>
    <pivotTable tabId="1" name="PivotTable9"/>
  </pivotTables>
  <data>
    <olap pivotCacheId="578921175">
      <levels count="2">
        <level uniqueName="[Transactions].[Month Name].[(All)]" sourceCaption="(All)" count="0"/>
        <level uniqueName="[Transactions].[Month Name].[Month Name]" sourceCaption="Month Name" count="12">
          <ranges>
            <range startItem="0">
              <i n="[Transactions].[Month Name].&amp;[Jan]" c="Jan"/>
              <i n="[Transactions].[Month Name].&amp;[Feb]" c="Feb"/>
              <i n="[Transactions].[Month Name].&amp;[Mar]" c="Mar"/>
              <i n="[Transactions].[Month Name].&amp;[Apr]" c="Apr"/>
              <i n="[Transactions].[Month Name].&amp;[May]" c="May"/>
              <i n="[Transactions].[Month Name].&amp;[Jun]" c="Jun"/>
              <i n="[Transactions].[Month Name].&amp;[Jul]" c="Jul"/>
              <i n="[Transactions].[Month Name].&amp;[Aug]" c="Aug"/>
              <i n="[Transactions].[Month Name].&amp;[Sep]" c="Sep"/>
              <i n="[Transactions].[Month Name].&amp;[Oct]" c="Oct"/>
              <i n="[Transactions].[Month Name].&amp;[Nov]" c="Nov"/>
              <i n="[Transactions].[Month Name].&amp;[Dec]" c="Dec"/>
            </range>
          </ranges>
        </level>
      </levels>
      <selections count="1">
        <selection n="[Transactions].[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5DA0CB1-B64D-4831-A9FB-834AEDD0C2F1}" cache="Slicer_Year" caption="Year" level="1" rowHeight="241300"/>
  <slicer name="Month Name" xr10:uid="{17309896-16AC-4517-9C7F-D4920F2EF7C8}" cache="Slicer_Month_Name" caption="Month Name" startItem="3"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D8F178A-0613-48EA-83DC-5DCE4D07EFBF}" cache="Slicer_Year" caption="Year" columnCount="2" level="1" style="Slicer Style 2" rowHeight="731520"/>
  <slicer name="Month Name 1" xr10:uid="{13EA3C5B-B5E2-45B9-B0AB-4341C9A4B0CC}" cache="Slicer_Month_Name" caption="Month Name" columnCount="2" level="1" style="Slicer Style 2" rowHeight="8229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4DCB0-E2B9-4DA3-AAC5-B2125057D292}">
  <dimension ref="D7:AH49"/>
  <sheetViews>
    <sheetView showGridLines="0" topLeftCell="R6" zoomScale="66" zoomScaleNormal="85" workbookViewId="0">
      <selection activeCell="AJ32" sqref="AJ32"/>
    </sheetView>
  </sheetViews>
  <sheetFormatPr defaultRowHeight="15" x14ac:dyDescent="0.25"/>
  <cols>
    <col min="4" max="4" width="17.28515625" bestFit="1" customWidth="1"/>
    <col min="5" max="5" width="20.7109375" bestFit="1" customWidth="1"/>
    <col min="6" max="6" width="20.28515625" bestFit="1" customWidth="1"/>
    <col min="7" max="7" width="14.7109375" bestFit="1" customWidth="1"/>
    <col min="8" max="8" width="19.5703125" bestFit="1" customWidth="1"/>
    <col min="9" max="9" width="18.5703125" bestFit="1" customWidth="1"/>
    <col min="10" max="10" width="19" bestFit="1" customWidth="1"/>
    <col min="11" max="11" width="20" bestFit="1" customWidth="1"/>
    <col min="12" max="12" width="16.140625" bestFit="1" customWidth="1"/>
    <col min="13" max="13" width="19" bestFit="1" customWidth="1"/>
    <col min="14" max="14" width="17.42578125" bestFit="1" customWidth="1"/>
    <col min="15" max="15" width="25" bestFit="1" customWidth="1"/>
    <col min="16" max="16" width="20.28515625" bestFit="1" customWidth="1"/>
    <col min="17" max="17" width="12.42578125" bestFit="1" customWidth="1"/>
    <col min="18" max="18" width="19" bestFit="1" customWidth="1"/>
    <col min="19" max="19" width="20.28515625" bestFit="1" customWidth="1"/>
    <col min="22" max="22" width="19" bestFit="1" customWidth="1"/>
    <col min="23" max="23" width="17.42578125" bestFit="1" customWidth="1"/>
    <col min="24" max="24" width="20.28515625" bestFit="1" customWidth="1"/>
    <col min="27" max="27" width="19" bestFit="1" customWidth="1"/>
    <col min="28" max="28" width="16.140625" bestFit="1" customWidth="1"/>
    <col min="31" max="32" width="14" bestFit="1" customWidth="1"/>
    <col min="33" max="33" width="20" bestFit="1" customWidth="1"/>
    <col min="34" max="34" width="17.85546875" bestFit="1" customWidth="1"/>
  </cols>
  <sheetData>
    <row r="7" spans="4:34" x14ac:dyDescent="0.25">
      <c r="M7" s="3" t="s">
        <v>36</v>
      </c>
      <c r="N7" t="s">
        <v>30</v>
      </c>
      <c r="O7" t="s">
        <v>31</v>
      </c>
      <c r="P7" t="s">
        <v>33</v>
      </c>
    </row>
    <row r="8" spans="4:34" x14ac:dyDescent="0.25">
      <c r="D8" s="11" t="s">
        <v>30</v>
      </c>
      <c r="E8" s="11" t="s">
        <v>31</v>
      </c>
      <c r="F8" s="11" t="s">
        <v>32</v>
      </c>
      <c r="G8" s="11" t="s">
        <v>33</v>
      </c>
      <c r="H8" s="11" t="s">
        <v>34</v>
      </c>
      <c r="I8" s="11" t="s">
        <v>35</v>
      </c>
      <c r="M8" s="5">
        <v>2018</v>
      </c>
      <c r="N8" s="2">
        <v>52000</v>
      </c>
      <c r="O8" s="4">
        <v>35443.54</v>
      </c>
      <c r="P8" s="7">
        <v>0.31839346153846154</v>
      </c>
      <c r="AF8" s="11"/>
      <c r="AG8" s="28" t="s">
        <v>43</v>
      </c>
      <c r="AH8" s="29" t="s">
        <v>33</v>
      </c>
    </row>
    <row r="9" spans="4:34" x14ac:dyDescent="0.25">
      <c r="D9" s="12">
        <v>93750</v>
      </c>
      <c r="E9" s="13">
        <v>63042.42</v>
      </c>
      <c r="F9" s="14">
        <v>30707.58</v>
      </c>
      <c r="G9" s="26">
        <v>0.32754752000000004</v>
      </c>
      <c r="H9" s="15">
        <v>30707.58</v>
      </c>
      <c r="I9" s="14">
        <v>-60691.42</v>
      </c>
      <c r="M9" s="5">
        <v>2019</v>
      </c>
      <c r="N9" s="2">
        <v>41750</v>
      </c>
      <c r="O9" s="4">
        <v>27598.880000000001</v>
      </c>
      <c r="P9" s="7">
        <v>0.3389489820359281</v>
      </c>
      <c r="AF9" s="11"/>
      <c r="AG9" s="34" t="s">
        <v>16</v>
      </c>
      <c r="AH9" s="31">
        <v>0.52461500000000005</v>
      </c>
    </row>
    <row r="10" spans="4:34" x14ac:dyDescent="0.25">
      <c r="M10" s="5" t="s">
        <v>37</v>
      </c>
      <c r="N10" s="2">
        <v>93750</v>
      </c>
      <c r="O10" s="4">
        <v>63042.42</v>
      </c>
      <c r="P10" s="25">
        <v>0.32754752000000004</v>
      </c>
      <c r="AA10" s="3" t="s">
        <v>36</v>
      </c>
      <c r="AB10" t="s">
        <v>32</v>
      </c>
      <c r="AF10" s="11"/>
      <c r="AG10" s="34" t="s">
        <v>19</v>
      </c>
      <c r="AH10" s="31">
        <v>0.49449500000000002</v>
      </c>
    </row>
    <row r="11" spans="4:34" x14ac:dyDescent="0.25">
      <c r="K11" t="s">
        <v>30</v>
      </c>
      <c r="AA11" s="5" t="s">
        <v>16</v>
      </c>
      <c r="AB11" s="4">
        <v>4196.92</v>
      </c>
      <c r="AF11" s="11"/>
      <c r="AG11" s="30" t="s">
        <v>20</v>
      </c>
      <c r="AH11" s="32">
        <v>0.63989583333333333</v>
      </c>
    </row>
    <row r="12" spans="4:34" x14ac:dyDescent="0.25">
      <c r="K12" s="9">
        <f>GETPIVOTDATA("[Measures].[Available Balance]",$D$8)</f>
        <v>30707.58</v>
      </c>
      <c r="AA12" s="5" t="s">
        <v>19</v>
      </c>
      <c r="AB12" s="4">
        <v>3955.96</v>
      </c>
      <c r="AE12" t="s">
        <v>39</v>
      </c>
      <c r="AG12" s="34" t="s">
        <v>21</v>
      </c>
      <c r="AH12" s="31">
        <v>0.39630875000000004</v>
      </c>
    </row>
    <row r="13" spans="4:34" x14ac:dyDescent="0.25">
      <c r="AA13" s="5" t="s">
        <v>20</v>
      </c>
      <c r="AB13" s="4">
        <v>7678.75</v>
      </c>
      <c r="AE13" s="1">
        <v>2351</v>
      </c>
      <c r="AG13" s="34" t="s">
        <v>22</v>
      </c>
      <c r="AH13" s="31">
        <v>-0.59512124999999994</v>
      </c>
    </row>
    <row r="14" spans="4:34" x14ac:dyDescent="0.25">
      <c r="O14" s="3" t="s">
        <v>36</v>
      </c>
      <c r="P14" t="s">
        <v>31</v>
      </c>
      <c r="AA14" s="5" t="s">
        <v>21</v>
      </c>
      <c r="AB14" s="4">
        <v>3170.4700000000003</v>
      </c>
      <c r="AG14" s="30" t="s">
        <v>23</v>
      </c>
      <c r="AH14" s="32">
        <v>-0.62842875000000009</v>
      </c>
    </row>
    <row r="15" spans="4:34" x14ac:dyDescent="0.25">
      <c r="E15" s="3" t="s">
        <v>36</v>
      </c>
      <c r="F15" t="s">
        <v>31</v>
      </c>
      <c r="I15" s="3" t="s">
        <v>36</v>
      </c>
      <c r="J15" s="1" t="s">
        <v>38</v>
      </c>
      <c r="K15" s="10">
        <v>8000</v>
      </c>
      <c r="O15" s="5" t="s">
        <v>0</v>
      </c>
      <c r="P15" s="4">
        <v>1970.04</v>
      </c>
      <c r="AA15" s="5" t="s">
        <v>22</v>
      </c>
      <c r="AB15" s="4">
        <v>-4760.9699999999993</v>
      </c>
      <c r="AG15" s="34" t="s">
        <v>24</v>
      </c>
      <c r="AH15" s="31">
        <v>0.42896941176470588</v>
      </c>
    </row>
    <row r="16" spans="4:34" x14ac:dyDescent="0.25">
      <c r="E16" s="5" t="s">
        <v>13</v>
      </c>
      <c r="F16" s="4">
        <v>2795.21</v>
      </c>
      <c r="I16" s="5" t="s">
        <v>8</v>
      </c>
      <c r="J16" s="6">
        <v>124269.75999999999</v>
      </c>
      <c r="O16" s="5" t="s">
        <v>12</v>
      </c>
      <c r="P16" s="4">
        <v>2764.33</v>
      </c>
      <c r="AA16" s="5" t="s">
        <v>23</v>
      </c>
      <c r="AB16" s="4">
        <v>-5027.43</v>
      </c>
      <c r="AG16" s="30" t="s">
        <v>25</v>
      </c>
      <c r="AH16" s="27">
        <v>0.68346039215686272</v>
      </c>
    </row>
    <row r="17" spans="4:34" x14ac:dyDescent="0.25">
      <c r="E17" s="5" t="s">
        <v>10</v>
      </c>
      <c r="F17" s="4">
        <v>19092.87</v>
      </c>
      <c r="I17" s="5" t="s">
        <v>1</v>
      </c>
      <c r="J17" s="6">
        <v>96083.78</v>
      </c>
      <c r="O17" s="5" t="s">
        <v>9</v>
      </c>
      <c r="P17" s="4">
        <v>1892.87</v>
      </c>
      <c r="AA17" s="5" t="s">
        <v>24</v>
      </c>
      <c r="AB17" s="4">
        <v>3646.24</v>
      </c>
      <c r="AF17" s="11"/>
      <c r="AG17" s="34" t="s">
        <v>26</v>
      </c>
      <c r="AH17" s="26">
        <v>0.48787999999999992</v>
      </c>
    </row>
    <row r="18" spans="4:34" x14ac:dyDescent="0.25">
      <c r="E18" s="5" t="s">
        <v>4</v>
      </c>
      <c r="F18" s="4">
        <v>24754.5</v>
      </c>
      <c r="I18" s="5" t="s">
        <v>37</v>
      </c>
      <c r="J18" s="6">
        <v>220353.54</v>
      </c>
      <c r="O18" s="5" t="s">
        <v>14</v>
      </c>
      <c r="P18" s="4">
        <v>17200</v>
      </c>
      <c r="AA18" s="5" t="s">
        <v>25</v>
      </c>
      <c r="AB18" s="4">
        <v>8714.119999999999</v>
      </c>
      <c r="AG18" s="33" t="s">
        <v>27</v>
      </c>
      <c r="AH18" s="27">
        <v>0.43940750000000001</v>
      </c>
    </row>
    <row r="19" spans="4:34" x14ac:dyDescent="0.25">
      <c r="E19" s="5" t="s">
        <v>6</v>
      </c>
      <c r="F19" s="4">
        <v>2613.02</v>
      </c>
      <c r="O19" s="5" t="s">
        <v>3</v>
      </c>
      <c r="P19" s="4">
        <v>24754.5</v>
      </c>
      <c r="AA19" s="5" t="s">
        <v>26</v>
      </c>
      <c r="AB19" s="4">
        <v>4146.9799999999996</v>
      </c>
      <c r="AG19" s="33" t="s">
        <v>28</v>
      </c>
      <c r="AH19" s="27">
        <v>0.47046249999999995</v>
      </c>
    </row>
    <row r="20" spans="4:34" x14ac:dyDescent="0.25">
      <c r="E20" s="5" t="s">
        <v>11</v>
      </c>
      <c r="F20" s="4">
        <v>2776</v>
      </c>
      <c r="O20" s="5" t="s">
        <v>37</v>
      </c>
      <c r="P20" s="4">
        <v>48581.74</v>
      </c>
      <c r="AA20" s="5" t="s">
        <v>27</v>
      </c>
      <c r="AB20" s="4">
        <v>1757.63</v>
      </c>
      <c r="AG20" s="33" t="s">
        <v>29</v>
      </c>
      <c r="AH20" s="27">
        <v>0.33676499999999998</v>
      </c>
    </row>
    <row r="21" spans="4:34" x14ac:dyDescent="0.25">
      <c r="E21" s="5" t="s">
        <v>37</v>
      </c>
      <c r="F21" s="4">
        <v>52031.6</v>
      </c>
      <c r="I21" s="3" t="s">
        <v>36</v>
      </c>
      <c r="J21" t="s">
        <v>31</v>
      </c>
      <c r="AA21" s="5" t="s">
        <v>28</v>
      </c>
      <c r="AB21" s="4">
        <v>1881.85</v>
      </c>
    </row>
    <row r="22" spans="4:34" x14ac:dyDescent="0.25">
      <c r="I22" s="5" t="s">
        <v>5</v>
      </c>
      <c r="J22" s="6">
        <v>49456.78</v>
      </c>
      <c r="AA22" s="5" t="s">
        <v>29</v>
      </c>
      <c r="AB22" s="4">
        <v>1347.06</v>
      </c>
      <c r="AE22" s="3" t="s">
        <v>36</v>
      </c>
      <c r="AF22" t="s">
        <v>39</v>
      </c>
    </row>
    <row r="23" spans="4:34" x14ac:dyDescent="0.25">
      <c r="I23" s="5" t="s">
        <v>2</v>
      </c>
      <c r="J23" s="6">
        <v>8996.31</v>
      </c>
      <c r="AA23" s="5" t="s">
        <v>37</v>
      </c>
      <c r="AB23" s="4">
        <v>30707.58</v>
      </c>
      <c r="AE23" s="5" t="s">
        <v>46</v>
      </c>
      <c r="AF23" s="1">
        <v>50</v>
      </c>
    </row>
    <row r="24" spans="4:34" x14ac:dyDescent="0.25">
      <c r="I24" s="5" t="s">
        <v>7</v>
      </c>
      <c r="J24" s="6">
        <v>4589.33</v>
      </c>
      <c r="V24" s="3" t="s">
        <v>36</v>
      </c>
      <c r="W24" t="s">
        <v>30</v>
      </c>
      <c r="X24" t="s">
        <v>31</v>
      </c>
      <c r="AE24" s="5" t="s">
        <v>40</v>
      </c>
      <c r="AF24" s="1">
        <v>75</v>
      </c>
    </row>
    <row r="25" spans="4:34" x14ac:dyDescent="0.25">
      <c r="I25" s="5" t="s">
        <v>37</v>
      </c>
      <c r="J25" s="6">
        <v>63042.42</v>
      </c>
      <c r="V25" s="5" t="s">
        <v>16</v>
      </c>
      <c r="W25" s="2">
        <v>8000</v>
      </c>
      <c r="X25" s="4">
        <v>3803.08</v>
      </c>
      <c r="AE25" s="5" t="s">
        <v>47</v>
      </c>
      <c r="AF25" s="1">
        <v>15</v>
      </c>
    </row>
    <row r="26" spans="4:34" x14ac:dyDescent="0.25">
      <c r="D26" s="16"/>
      <c r="E26" s="17"/>
      <c r="F26" s="18"/>
      <c r="R26" s="3" t="s">
        <v>36</v>
      </c>
      <c r="S26" t="s">
        <v>31</v>
      </c>
      <c r="V26" s="5" t="s">
        <v>19</v>
      </c>
      <c r="W26" s="2">
        <v>8000</v>
      </c>
      <c r="X26" s="4">
        <v>4044.04</v>
      </c>
      <c r="AE26" s="5" t="s">
        <v>41</v>
      </c>
      <c r="AF26" s="1">
        <v>0</v>
      </c>
    </row>
    <row r="27" spans="4:34" x14ac:dyDescent="0.25">
      <c r="D27" s="19"/>
      <c r="E27" s="20"/>
      <c r="F27" s="21"/>
      <c r="R27" s="5" t="s">
        <v>16</v>
      </c>
      <c r="S27" s="4">
        <v>3803.08</v>
      </c>
      <c r="V27" s="5" t="s">
        <v>20</v>
      </c>
      <c r="W27" s="2">
        <v>12000</v>
      </c>
      <c r="X27" s="4">
        <v>4321.25</v>
      </c>
      <c r="AE27" s="5" t="s">
        <v>48</v>
      </c>
      <c r="AF27" s="1">
        <v>25</v>
      </c>
    </row>
    <row r="28" spans="4:34" x14ac:dyDescent="0.25">
      <c r="D28" s="19"/>
      <c r="E28" s="20"/>
      <c r="F28" s="21"/>
      <c r="I28" s="3" t="s">
        <v>36</v>
      </c>
      <c r="J28" t="s">
        <v>30</v>
      </c>
      <c r="K28" t="s">
        <v>31</v>
      </c>
      <c r="L28" t="s">
        <v>32</v>
      </c>
      <c r="M28" t="s">
        <v>33</v>
      </c>
      <c r="R28" s="5" t="s">
        <v>19</v>
      </c>
      <c r="S28" s="4">
        <v>4044.04</v>
      </c>
      <c r="V28" s="5" t="s">
        <v>21</v>
      </c>
      <c r="W28" s="2">
        <v>8000</v>
      </c>
      <c r="X28" s="4">
        <v>4829.53</v>
      </c>
      <c r="AE28" s="5" t="s">
        <v>49</v>
      </c>
      <c r="AF28" s="1">
        <v>15</v>
      </c>
    </row>
    <row r="29" spans="4:34" x14ac:dyDescent="0.25">
      <c r="D29" s="19"/>
      <c r="E29" s="20"/>
      <c r="F29" s="21"/>
      <c r="I29" s="5" t="s">
        <v>16</v>
      </c>
      <c r="J29" s="2">
        <v>8000</v>
      </c>
      <c r="K29" s="4">
        <v>3803.08</v>
      </c>
      <c r="L29" s="4">
        <v>4196.92</v>
      </c>
      <c r="M29" s="25">
        <v>0.52461500000000005</v>
      </c>
      <c r="R29" s="5" t="s">
        <v>20</v>
      </c>
      <c r="S29" s="4">
        <v>4321.25</v>
      </c>
      <c r="V29" s="5" t="s">
        <v>22</v>
      </c>
      <c r="W29" s="2">
        <v>8000</v>
      </c>
      <c r="X29" s="4">
        <v>12760.97</v>
      </c>
      <c r="AE29" s="5" t="s">
        <v>42</v>
      </c>
      <c r="AF29" s="1">
        <v>75</v>
      </c>
    </row>
    <row r="30" spans="4:34" x14ac:dyDescent="0.25">
      <c r="D30" s="19"/>
      <c r="E30" s="20"/>
      <c r="F30" s="21"/>
      <c r="I30" s="5" t="s">
        <v>19</v>
      </c>
      <c r="J30" s="2">
        <v>8000</v>
      </c>
      <c r="K30" s="4">
        <v>4044.04</v>
      </c>
      <c r="L30" s="4">
        <v>3955.96</v>
      </c>
      <c r="M30" s="25">
        <v>0.49449500000000002</v>
      </c>
      <c r="R30" s="5" t="s">
        <v>21</v>
      </c>
      <c r="S30" s="4">
        <v>4829.53</v>
      </c>
      <c r="V30" s="5" t="s">
        <v>23</v>
      </c>
      <c r="W30" s="2">
        <v>8000</v>
      </c>
      <c r="X30" s="4">
        <v>13027.43</v>
      </c>
      <c r="AE30" s="5" t="s">
        <v>13</v>
      </c>
      <c r="AF30" s="1">
        <v>150</v>
      </c>
    </row>
    <row r="31" spans="4:34" x14ac:dyDescent="0.25">
      <c r="D31" s="19"/>
      <c r="E31" s="20"/>
      <c r="F31" s="21"/>
      <c r="I31" s="5" t="s">
        <v>20</v>
      </c>
      <c r="J31" s="2">
        <v>12000</v>
      </c>
      <c r="K31" s="4">
        <v>4321.25</v>
      </c>
      <c r="L31" s="4">
        <v>7678.75</v>
      </c>
      <c r="M31" s="25">
        <v>0.63989583333333333</v>
      </c>
      <c r="R31" s="5" t="s">
        <v>22</v>
      </c>
      <c r="S31" s="4">
        <v>12760.97</v>
      </c>
      <c r="V31" s="5" t="s">
        <v>24</v>
      </c>
      <c r="W31" s="2">
        <v>8500</v>
      </c>
      <c r="X31" s="4">
        <v>4853.76</v>
      </c>
      <c r="AE31" s="5" t="s">
        <v>50</v>
      </c>
      <c r="AF31" s="1">
        <v>30</v>
      </c>
    </row>
    <row r="32" spans="4:34" x14ac:dyDescent="0.25">
      <c r="D32" s="19"/>
      <c r="E32" s="20"/>
      <c r="F32" s="21"/>
      <c r="I32" s="5" t="s">
        <v>21</v>
      </c>
      <c r="J32" s="2">
        <v>8000</v>
      </c>
      <c r="K32" s="4">
        <v>4829.53</v>
      </c>
      <c r="L32" s="4">
        <v>3170.4700000000003</v>
      </c>
      <c r="M32" s="25">
        <v>0.39630875000000004</v>
      </c>
      <c r="R32" s="5" t="s">
        <v>23</v>
      </c>
      <c r="S32" s="4">
        <v>13027.43</v>
      </c>
      <c r="V32" s="5" t="s">
        <v>25</v>
      </c>
      <c r="W32" s="2">
        <v>12750</v>
      </c>
      <c r="X32" s="4">
        <v>4035.88</v>
      </c>
      <c r="AE32" s="5" t="s">
        <v>10</v>
      </c>
      <c r="AF32" s="1">
        <v>250</v>
      </c>
    </row>
    <row r="33" spans="4:32" x14ac:dyDescent="0.25">
      <c r="D33" s="19"/>
      <c r="E33" s="20"/>
      <c r="F33" s="21"/>
      <c r="I33" s="5" t="s">
        <v>22</v>
      </c>
      <c r="J33" s="2">
        <v>8000</v>
      </c>
      <c r="K33" s="4">
        <v>12760.97</v>
      </c>
      <c r="L33" s="4">
        <v>-4760.9699999999993</v>
      </c>
      <c r="M33" s="25">
        <v>-0.59512124999999994</v>
      </c>
      <c r="R33" s="5" t="s">
        <v>24</v>
      </c>
      <c r="S33" s="4">
        <v>4853.76</v>
      </c>
      <c r="V33" s="5" t="s">
        <v>26</v>
      </c>
      <c r="W33" s="2">
        <v>8500</v>
      </c>
      <c r="X33" s="4">
        <v>4353.0200000000004</v>
      </c>
      <c r="AE33" s="5" t="s">
        <v>44</v>
      </c>
      <c r="AF33" s="1">
        <v>75</v>
      </c>
    </row>
    <row r="34" spans="4:32" x14ac:dyDescent="0.25">
      <c r="D34" s="19"/>
      <c r="E34" s="20"/>
      <c r="F34" s="21"/>
      <c r="I34" s="5" t="s">
        <v>23</v>
      </c>
      <c r="J34" s="2">
        <v>8000</v>
      </c>
      <c r="K34" s="4">
        <v>13027.43</v>
      </c>
      <c r="L34" s="4">
        <v>-5027.43</v>
      </c>
      <c r="M34" s="25">
        <v>-0.62842875000000009</v>
      </c>
      <c r="R34" s="5" t="s">
        <v>25</v>
      </c>
      <c r="S34" s="4">
        <v>4035.88</v>
      </c>
      <c r="V34" s="5" t="s">
        <v>27</v>
      </c>
      <c r="W34" s="2">
        <v>4000</v>
      </c>
      <c r="X34" s="4">
        <v>2242.37</v>
      </c>
      <c r="AE34" s="5" t="s">
        <v>45</v>
      </c>
      <c r="AF34" s="1">
        <v>65</v>
      </c>
    </row>
    <row r="35" spans="4:32" x14ac:dyDescent="0.25">
      <c r="D35" s="19"/>
      <c r="E35" s="20"/>
      <c r="F35" s="21"/>
      <c r="I35" s="5" t="s">
        <v>24</v>
      </c>
      <c r="J35" s="2">
        <v>8500</v>
      </c>
      <c r="K35" s="4">
        <v>4853.76</v>
      </c>
      <c r="L35" s="4">
        <v>3646.24</v>
      </c>
      <c r="M35" s="25">
        <v>0.42896941176470588</v>
      </c>
      <c r="R35" s="5" t="s">
        <v>26</v>
      </c>
      <c r="S35" s="4">
        <v>4353.0200000000004</v>
      </c>
      <c r="V35" s="5" t="s">
        <v>28</v>
      </c>
      <c r="W35" s="2">
        <v>4000</v>
      </c>
      <c r="X35" s="4">
        <v>2118.15</v>
      </c>
      <c r="AE35" s="5" t="s">
        <v>4</v>
      </c>
      <c r="AF35" s="1">
        <v>1100</v>
      </c>
    </row>
    <row r="36" spans="4:32" x14ac:dyDescent="0.25">
      <c r="D36" s="19"/>
      <c r="E36" s="20"/>
      <c r="F36" s="21"/>
      <c r="I36" s="5" t="s">
        <v>25</v>
      </c>
      <c r="J36" s="2">
        <v>12750</v>
      </c>
      <c r="K36" s="4">
        <v>4035.88</v>
      </c>
      <c r="L36" s="4">
        <v>8714.119999999999</v>
      </c>
      <c r="M36" s="25">
        <v>0.68346039215686272</v>
      </c>
      <c r="R36" s="5" t="s">
        <v>27</v>
      </c>
      <c r="S36" s="4">
        <v>2242.37</v>
      </c>
      <c r="V36" s="5" t="s">
        <v>29</v>
      </c>
      <c r="W36" s="2">
        <v>4000</v>
      </c>
      <c r="X36" s="4">
        <v>2652.94</v>
      </c>
      <c r="AE36" s="5" t="s">
        <v>51</v>
      </c>
      <c r="AF36" s="1">
        <v>0</v>
      </c>
    </row>
    <row r="37" spans="4:32" x14ac:dyDescent="0.25">
      <c r="D37" s="19"/>
      <c r="E37" s="20"/>
      <c r="F37" s="21"/>
      <c r="I37" s="5" t="s">
        <v>26</v>
      </c>
      <c r="J37" s="2">
        <v>8500</v>
      </c>
      <c r="K37" s="4">
        <v>4353.0200000000004</v>
      </c>
      <c r="L37" s="4">
        <v>4146.9799999999996</v>
      </c>
      <c r="M37" s="25">
        <v>0.48787999999999992</v>
      </c>
      <c r="R37" s="5" t="s">
        <v>28</v>
      </c>
      <c r="S37" s="4">
        <v>2118.15</v>
      </c>
      <c r="V37" s="5" t="s">
        <v>37</v>
      </c>
      <c r="W37" s="2">
        <v>93750</v>
      </c>
      <c r="X37" s="4">
        <v>63042.42</v>
      </c>
      <c r="AE37" s="5" t="s">
        <v>52</v>
      </c>
      <c r="AF37" s="1">
        <v>11</v>
      </c>
    </row>
    <row r="38" spans="4:32" x14ac:dyDescent="0.25">
      <c r="D38" s="19"/>
      <c r="E38" s="20"/>
      <c r="F38" s="21"/>
      <c r="I38" s="5" t="s">
        <v>27</v>
      </c>
      <c r="J38" s="2">
        <v>4000</v>
      </c>
      <c r="K38" s="4">
        <v>2242.37</v>
      </c>
      <c r="L38" s="4">
        <v>1757.63</v>
      </c>
      <c r="M38" s="25">
        <v>0.43940750000000001</v>
      </c>
      <c r="R38" s="5" t="s">
        <v>29</v>
      </c>
      <c r="S38" s="4">
        <v>2652.94</v>
      </c>
      <c r="AE38" s="5" t="s">
        <v>6</v>
      </c>
      <c r="AF38" s="1">
        <v>150</v>
      </c>
    </row>
    <row r="39" spans="4:32" x14ac:dyDescent="0.25">
      <c r="D39" s="19"/>
      <c r="E39" s="20"/>
      <c r="F39" s="21"/>
      <c r="I39" s="5" t="s">
        <v>28</v>
      </c>
      <c r="J39" s="2">
        <v>4000</v>
      </c>
      <c r="K39" s="4">
        <v>2118.15</v>
      </c>
      <c r="L39" s="4">
        <v>1881.85</v>
      </c>
      <c r="M39" s="25">
        <v>0.47046249999999995</v>
      </c>
      <c r="R39" s="5" t="s">
        <v>37</v>
      </c>
      <c r="S39" s="4">
        <v>63042.42</v>
      </c>
      <c r="AE39" s="5" t="s">
        <v>53</v>
      </c>
      <c r="AF39" s="1">
        <v>100</v>
      </c>
    </row>
    <row r="40" spans="4:32" x14ac:dyDescent="0.25">
      <c r="D40" s="19"/>
      <c r="E40" s="20"/>
      <c r="F40" s="21"/>
      <c r="I40" s="5" t="s">
        <v>29</v>
      </c>
      <c r="J40" s="2">
        <v>4000</v>
      </c>
      <c r="K40" s="4">
        <v>2652.94</v>
      </c>
      <c r="L40" s="4">
        <v>1347.06</v>
      </c>
      <c r="M40" s="25">
        <v>0.33676499999999998</v>
      </c>
      <c r="AE40" s="5" t="s">
        <v>54</v>
      </c>
      <c r="AF40" s="1">
        <v>15</v>
      </c>
    </row>
    <row r="41" spans="4:32" x14ac:dyDescent="0.25">
      <c r="D41" s="19"/>
      <c r="E41" s="20"/>
      <c r="F41" s="21"/>
      <c r="I41" s="5" t="s">
        <v>37</v>
      </c>
      <c r="J41" s="2">
        <v>93750</v>
      </c>
      <c r="K41" s="4">
        <v>63042.42</v>
      </c>
      <c r="L41" s="4">
        <v>30707.58</v>
      </c>
      <c r="M41" s="25">
        <v>0.32754752000000004</v>
      </c>
      <c r="AE41" s="5" t="s">
        <v>11</v>
      </c>
      <c r="AF41" s="1">
        <v>150</v>
      </c>
    </row>
    <row r="42" spans="4:32" x14ac:dyDescent="0.25">
      <c r="D42" s="19"/>
      <c r="E42" s="20"/>
      <c r="F42" s="21"/>
      <c r="AE42" s="5" t="s">
        <v>37</v>
      </c>
      <c r="AF42" s="1">
        <v>2351</v>
      </c>
    </row>
    <row r="43" spans="4:32" x14ac:dyDescent="0.25">
      <c r="D43" s="22"/>
      <c r="E43" s="23"/>
      <c r="F43" s="24"/>
    </row>
    <row r="45" spans="4:32" x14ac:dyDescent="0.25">
      <c r="J45" s="3" t="s">
        <v>36</v>
      </c>
      <c r="K45" t="s">
        <v>38</v>
      </c>
    </row>
    <row r="46" spans="4:32" x14ac:dyDescent="0.25">
      <c r="J46" s="5" t="s">
        <v>15</v>
      </c>
      <c r="K46" s="1">
        <v>63042.42</v>
      </c>
    </row>
    <row r="47" spans="4:32" x14ac:dyDescent="0.25">
      <c r="J47" s="5" t="s">
        <v>18</v>
      </c>
      <c r="K47" s="1">
        <v>93750</v>
      </c>
    </row>
    <row r="48" spans="4:32" x14ac:dyDescent="0.25">
      <c r="J48" s="5" t="s">
        <v>17</v>
      </c>
      <c r="K48" s="1">
        <v>63561.120000000003</v>
      </c>
    </row>
    <row r="49" spans="10:11" x14ac:dyDescent="0.25">
      <c r="J49" s="5" t="s">
        <v>37</v>
      </c>
      <c r="K49" s="1">
        <v>220353.54</v>
      </c>
    </row>
  </sheetData>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81807-987C-4E5C-B19A-4739AB37E2C7}">
  <dimension ref="AA123:AQ124"/>
  <sheetViews>
    <sheetView showGridLines="0" tabSelected="1" topLeftCell="V24" zoomScale="26" zoomScaleNormal="70" workbookViewId="0">
      <selection activeCell="AA129" sqref="AA129"/>
    </sheetView>
  </sheetViews>
  <sheetFormatPr defaultRowHeight="15" x14ac:dyDescent="0.25"/>
  <cols>
    <col min="1" max="16384" width="9.140625" style="8"/>
  </cols>
  <sheetData>
    <row r="123" spans="27:43" x14ac:dyDescent="0.25">
      <c r="AA123" s="35"/>
    </row>
    <row r="124" spans="27:43" x14ac:dyDescent="0.25">
      <c r="AQ124" s="3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C0B1D975-2F6B-498D-BC75-D3450AA7D26D}">
  <ds:schemaRefs/>
</ds:datastoreItem>
</file>

<file path=customXml/itemProps2.xml><?xml version="1.0" encoding="utf-8"?>
<ds:datastoreItem xmlns:ds="http://schemas.openxmlformats.org/officeDocument/2006/customXml" ds:itemID="{B47FCC57-2810-4DFC-A8AC-C08FC08948B9}">
  <ds:schemaRefs/>
</ds:datastoreItem>
</file>

<file path=customXml/itemProps3.xml><?xml version="1.0" encoding="utf-8"?>
<ds:datastoreItem xmlns:ds="http://schemas.openxmlformats.org/officeDocument/2006/customXml" ds:itemID="{1F6FE754-4995-408C-AA98-DCD879417206}">
  <ds:schemaRefs/>
</ds:datastoreItem>
</file>

<file path=customXml/itemProps4.xml><?xml version="1.0" encoding="utf-8"?>
<ds:datastoreItem xmlns:ds="http://schemas.openxmlformats.org/officeDocument/2006/customXml" ds:itemID="{E1A54EB9-E655-489D-9194-B2D99E14B6C2}">
  <ds:schemaRefs/>
</ds:datastoreItem>
</file>

<file path=customXml/itemProps5.xml><?xml version="1.0" encoding="utf-8"?>
<ds:datastoreItem xmlns:ds="http://schemas.openxmlformats.org/officeDocument/2006/customXml" ds:itemID="{2E556C34-70EF-4A35-B026-CB2AB2476B65}">
  <ds:schemaRefs/>
</ds:datastoreItem>
</file>

<file path=customXml/itemProps6.xml><?xml version="1.0" encoding="utf-8"?>
<ds:datastoreItem xmlns:ds="http://schemas.openxmlformats.org/officeDocument/2006/customXml" ds:itemID="{D43DA8EE-1C35-42FF-822F-0B2EC086361F}">
  <ds:schemaRefs/>
</ds:datastoreItem>
</file>

<file path=customXml/itemProps7.xml><?xml version="1.0" encoding="utf-8"?>
<ds:datastoreItem xmlns:ds="http://schemas.openxmlformats.org/officeDocument/2006/customXml" ds:itemID="{A105BAF2-DAAB-4656-B3ED-C4D38FCA4D91}">
  <ds:schemaRefs/>
</ds:datastoreItem>
</file>

<file path=customXml/itemProps8.xml><?xml version="1.0" encoding="utf-8"?>
<ds:datastoreItem xmlns:ds="http://schemas.openxmlformats.org/officeDocument/2006/customXml" ds:itemID="{C6812243-33FC-4974-A4D1-C9A1D63AA654}">
  <ds:schemaRefs/>
</ds:datastoreItem>
</file>

<file path=customXml/itemProps9.xml><?xml version="1.0" encoding="utf-8"?>
<ds:datastoreItem xmlns:ds="http://schemas.openxmlformats.org/officeDocument/2006/customXml" ds:itemID="{44B77A3F-6D3C-4D19-8DEA-6FF4D9924EF3}">
  <ds:schemaRefs/>
</ds:datastoreItem>
</file>

<file path=customXml/itemProps10.xml><?xml version="1.0" encoding="utf-8"?>
<ds:datastoreItem xmlns:ds="http://schemas.openxmlformats.org/officeDocument/2006/customXml" ds:itemID="{0705B606-92A8-4036-B439-1BB958E65D26}">
  <ds:schemaRefs/>
</ds:datastoreItem>
</file>

<file path=customXml/itemProps11.xml><?xml version="1.0" encoding="utf-8"?>
<ds:datastoreItem xmlns:ds="http://schemas.openxmlformats.org/officeDocument/2006/customXml" ds:itemID="{87B711EC-7868-4DEA-A63C-276C38187283}">
  <ds:schemaRefs/>
</ds:datastoreItem>
</file>

<file path=customXml/itemProps12.xml><?xml version="1.0" encoding="utf-8"?>
<ds:datastoreItem xmlns:ds="http://schemas.openxmlformats.org/officeDocument/2006/customXml" ds:itemID="{713F3A35-3DF0-495C-9E8F-333D262FEF5C}">
  <ds:schemaRefs>
    <ds:schemaRef ds:uri="http://schemas.microsoft.com/DataMashup"/>
  </ds:schemaRefs>
</ds:datastoreItem>
</file>

<file path=customXml/itemProps13.xml><?xml version="1.0" encoding="utf-8"?>
<ds:datastoreItem xmlns:ds="http://schemas.openxmlformats.org/officeDocument/2006/customXml" ds:itemID="{AB37F56E-E1C8-402E-8288-17A3D1D6D006}">
  <ds:schemaRefs/>
</ds:datastoreItem>
</file>

<file path=customXml/itemProps14.xml><?xml version="1.0" encoding="utf-8"?>
<ds:datastoreItem xmlns:ds="http://schemas.openxmlformats.org/officeDocument/2006/customXml" ds:itemID="{E2294924-8D4C-4BB7-8076-EABC314F5E2A}">
  <ds:schemaRefs/>
</ds:datastoreItem>
</file>

<file path=customXml/itemProps15.xml><?xml version="1.0" encoding="utf-8"?>
<ds:datastoreItem xmlns:ds="http://schemas.openxmlformats.org/officeDocument/2006/customXml" ds:itemID="{5B0DAF32-4FFD-49EC-B706-773D0BDCF083}">
  <ds:schemaRefs/>
</ds:datastoreItem>
</file>

<file path=customXml/itemProps16.xml><?xml version="1.0" encoding="utf-8"?>
<ds:datastoreItem xmlns:ds="http://schemas.openxmlformats.org/officeDocument/2006/customXml" ds:itemID="{228F3C82-0FD8-4A5F-9393-2D59C1DD268C}">
  <ds:schemaRefs/>
</ds:datastoreItem>
</file>

<file path=customXml/itemProps17.xml><?xml version="1.0" encoding="utf-8"?>
<ds:datastoreItem xmlns:ds="http://schemas.openxmlformats.org/officeDocument/2006/customXml" ds:itemID="{945E8C9D-4C78-400D-A94C-2F5EEA00BADA}">
  <ds:schemaRefs/>
</ds:datastoreItem>
</file>

<file path=customXml/itemProps18.xml><?xml version="1.0" encoding="utf-8"?>
<ds:datastoreItem xmlns:ds="http://schemas.openxmlformats.org/officeDocument/2006/customXml" ds:itemID="{385FD7A9-051E-49A6-81C0-F95FA5C3038E}">
  <ds:schemaRefs/>
</ds:datastoreItem>
</file>

<file path=customXml/itemProps19.xml><?xml version="1.0" encoding="utf-8"?>
<ds:datastoreItem xmlns:ds="http://schemas.openxmlformats.org/officeDocument/2006/customXml" ds:itemID="{7DBE3AEA-CB75-4634-B709-18E3A74660E0}">
  <ds:schemaRefs/>
</ds:datastoreItem>
</file>

<file path=customXml/itemProps20.xml><?xml version="1.0" encoding="utf-8"?>
<ds:datastoreItem xmlns:ds="http://schemas.openxmlformats.org/officeDocument/2006/customXml" ds:itemID="{C4F0BE88-EB56-459C-AB21-BE8A25E8F070}">
  <ds:schemaRefs/>
</ds:datastoreItem>
</file>

<file path=customXml/itemProps21.xml><?xml version="1.0" encoding="utf-8"?>
<ds:datastoreItem xmlns:ds="http://schemas.openxmlformats.org/officeDocument/2006/customXml" ds:itemID="{ABAFBF99-B684-468A-827B-01C2C8AF41F0}">
  <ds:schemaRefs/>
</ds:datastoreItem>
</file>

<file path=customXml/itemProps22.xml><?xml version="1.0" encoding="utf-8"?>
<ds:datastoreItem xmlns:ds="http://schemas.openxmlformats.org/officeDocument/2006/customXml" ds:itemID="{9D644B7D-6B94-4808-AB9F-E1B190E196AF}">
  <ds:schemaRefs/>
</ds:datastoreItem>
</file>

<file path=customXml/itemProps23.xml><?xml version="1.0" encoding="utf-8"?>
<ds:datastoreItem xmlns:ds="http://schemas.openxmlformats.org/officeDocument/2006/customXml" ds:itemID="{7DF093E4-1F21-4DCD-8C95-BB3AC946F4D9}">
  <ds:schemaRefs/>
</ds:datastoreItem>
</file>

<file path=customXml/itemProps24.xml><?xml version="1.0" encoding="utf-8"?>
<ds:datastoreItem xmlns:ds="http://schemas.openxmlformats.org/officeDocument/2006/customXml" ds:itemID="{CBD039D9-7E2D-42D5-9A5F-974D90C5651D}">
  <ds:schemaRefs/>
</ds:datastoreItem>
</file>

<file path=customXml/itemProps25.xml><?xml version="1.0" encoding="utf-8"?>
<ds:datastoreItem xmlns:ds="http://schemas.openxmlformats.org/officeDocument/2006/customXml" ds:itemID="{5C4D6B97-07CF-4DEB-B189-B45E49CB8758}">
  <ds:schemaRefs/>
</ds:datastoreItem>
</file>

<file path=customXml/itemProps26.xml><?xml version="1.0" encoding="utf-8"?>
<ds:datastoreItem xmlns:ds="http://schemas.openxmlformats.org/officeDocument/2006/customXml" ds:itemID="{1B7AAACE-AB53-4393-B897-6BB5532F0C2B}">
  <ds:schemaRefs/>
</ds:datastoreItem>
</file>

<file path=customXml/itemProps27.xml><?xml version="1.0" encoding="utf-8"?>
<ds:datastoreItem xmlns:ds="http://schemas.openxmlformats.org/officeDocument/2006/customXml" ds:itemID="{B0E13874-3B4F-4E46-838F-CD3FDF4F0C74}">
  <ds:schemaRefs/>
</ds:datastoreItem>
</file>

<file path=customXml/itemProps28.xml><?xml version="1.0" encoding="utf-8"?>
<ds:datastoreItem xmlns:ds="http://schemas.openxmlformats.org/officeDocument/2006/customXml" ds:itemID="{57996CEE-395F-41E6-B962-6BA6C6F8C364}">
  <ds:schemaRefs/>
</ds:datastoreItem>
</file>

<file path=customXml/itemProps29.xml><?xml version="1.0" encoding="utf-8"?>
<ds:datastoreItem xmlns:ds="http://schemas.openxmlformats.org/officeDocument/2006/customXml" ds:itemID="{A70F243B-E5CB-4BA1-80CA-01A58C941B86}">
  <ds:schemaRefs/>
</ds:datastoreItem>
</file>

<file path=customXml/itemProps30.xml><?xml version="1.0" encoding="utf-8"?>
<ds:datastoreItem xmlns:ds="http://schemas.openxmlformats.org/officeDocument/2006/customXml" ds:itemID="{71DB0A24-8DAF-47CC-9B61-8739B50C5CCA}">
  <ds:schemaRefs/>
</ds:datastoreItem>
</file>

<file path=customXml/itemProps31.xml><?xml version="1.0" encoding="utf-8"?>
<ds:datastoreItem xmlns:ds="http://schemas.openxmlformats.org/officeDocument/2006/customXml" ds:itemID="{666AA5F2-C259-4BA7-A00A-92843455807B}">
  <ds:schemaRefs/>
</ds:datastoreItem>
</file>

<file path=customXml/itemProps32.xml><?xml version="1.0" encoding="utf-8"?>
<ds:datastoreItem xmlns:ds="http://schemas.openxmlformats.org/officeDocument/2006/customXml" ds:itemID="{036EB5FB-24A8-45A3-93DB-6213638AB3E7}">
  <ds:schemaRefs/>
</ds:datastoreItem>
</file>

<file path=customXml/itemProps33.xml><?xml version="1.0" encoding="utf-8"?>
<ds:datastoreItem xmlns:ds="http://schemas.openxmlformats.org/officeDocument/2006/customXml" ds:itemID="{08AEBE65-F821-4E8C-8FBA-9F2DB501AC3E}">
  <ds:schemaRefs/>
</ds:datastoreItem>
</file>

<file path=customXml/itemProps34.xml><?xml version="1.0" encoding="utf-8"?>
<ds:datastoreItem xmlns:ds="http://schemas.openxmlformats.org/officeDocument/2006/customXml" ds:itemID="{01B7642B-9DAF-4A1D-87FC-31D606039096}">
  <ds:schemaRefs/>
</ds:datastoreItem>
</file>

<file path=customXml/itemProps35.xml><?xml version="1.0" encoding="utf-8"?>
<ds:datastoreItem xmlns:ds="http://schemas.openxmlformats.org/officeDocument/2006/customXml" ds:itemID="{A550AE46-D15C-46A2-AB89-EBDF132FEB2B}">
  <ds:schemaRefs/>
</ds:datastoreItem>
</file>

<file path=customXml/itemProps36.xml><?xml version="1.0" encoding="utf-8"?>
<ds:datastoreItem xmlns:ds="http://schemas.openxmlformats.org/officeDocument/2006/customXml" ds:itemID="{768B85B8-624E-4987-A69B-3808DC1EA84A}">
  <ds:schemaRefs/>
</ds:datastoreItem>
</file>

<file path=customXml/itemProps37.xml><?xml version="1.0" encoding="utf-8"?>
<ds:datastoreItem xmlns:ds="http://schemas.openxmlformats.org/officeDocument/2006/customXml" ds:itemID="{290CDEA2-6B67-400F-80D6-B2195D8CB76D}">
  <ds:schemaRefs/>
</ds:datastoreItem>
</file>

<file path=customXml/itemProps38.xml><?xml version="1.0" encoding="utf-8"?>
<ds:datastoreItem xmlns:ds="http://schemas.openxmlformats.org/officeDocument/2006/customXml" ds:itemID="{4D839A22-BA12-4689-9E95-6C0AAE0D17EE}">
  <ds:schemaRefs/>
</ds:datastoreItem>
</file>

<file path=customXml/itemProps39.xml><?xml version="1.0" encoding="utf-8"?>
<ds:datastoreItem xmlns:ds="http://schemas.openxmlformats.org/officeDocument/2006/customXml" ds:itemID="{96C1EABF-2869-4B78-B0E6-923BD87B0F4A}">
  <ds:schemaRefs/>
</ds:datastoreItem>
</file>

<file path=customXml/itemProps40.xml><?xml version="1.0" encoding="utf-8"?>
<ds:datastoreItem xmlns:ds="http://schemas.openxmlformats.org/officeDocument/2006/customXml" ds:itemID="{077762F3-0D12-4D58-8117-84FAAC6C89D9}">
  <ds:schemaRefs/>
</ds:datastoreItem>
</file>

<file path=customXml/itemProps41.xml><?xml version="1.0" encoding="utf-8"?>
<ds:datastoreItem xmlns:ds="http://schemas.openxmlformats.org/officeDocument/2006/customXml" ds:itemID="{457DEEFC-B0DA-479B-9B28-19F589CC608E}">
  <ds:schemaRefs/>
</ds:datastoreItem>
</file>

<file path=customXml/itemProps42.xml><?xml version="1.0" encoding="utf-8"?>
<ds:datastoreItem xmlns:ds="http://schemas.openxmlformats.org/officeDocument/2006/customXml" ds:itemID="{ED180370-5A93-49F7-894C-5FA803B763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Analysis</vt:lpstr>
      <vt:lpstr>Visuals</vt:lpstr>
      <vt:lpstr>Balance</vt:lpstr>
      <vt:lpstr>Savings_rate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OLUWAFERANMI VICTOR</dc:creator>
  <cp:lastModifiedBy>OLUWAFERANMI VICTOR</cp:lastModifiedBy>
  <dcterms:created xsi:type="dcterms:W3CDTF">2026-09-04T16:06:27Z</dcterms:created>
  <dcterms:modified xsi:type="dcterms:W3CDTF">2026-09-08T16:05:23Z</dcterms:modified>
</cp:coreProperties>
</file>